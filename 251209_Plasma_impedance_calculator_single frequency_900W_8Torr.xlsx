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K\Coding\260309_Plasma_Calculator\"/>
    </mc:Choice>
  </mc:AlternateContent>
  <xr:revisionPtr revIDLastSave="0" documentId="13_ncr:1_{CED83B57-2AC3-4573-BA9F-83E15E2CD9A9}" xr6:coauthVersionLast="47" xr6:coauthVersionMax="47" xr10:uidLastSave="{00000000-0000-0000-0000-000000000000}"/>
  <bookViews>
    <workbookView xWindow="-19200" yWindow="-4155" windowWidth="18600" windowHeight="21705" xr2:uid="{A0C19483-6F59-4CB5-A669-8AEDA5BC83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79" i="1"/>
  <c r="C78" i="1"/>
  <c r="K30" i="1"/>
  <c r="C54" i="1"/>
  <c r="C40" i="1"/>
  <c r="C37" i="1"/>
  <c r="C36" i="1"/>
  <c r="C35" i="1"/>
  <c r="C21" i="1"/>
  <c r="C22" i="1" s="1"/>
  <c r="C18" i="1"/>
  <c r="C15" i="1"/>
  <c r="C13" i="1"/>
  <c r="C8" i="1"/>
  <c r="C7" i="1"/>
  <c r="C6" i="1"/>
  <c r="C94" i="1" s="1"/>
  <c r="C5" i="1"/>
  <c r="C4" i="1"/>
  <c r="C64" i="1" l="1"/>
  <c r="C103" i="1"/>
  <c r="C116" i="1"/>
  <c r="C32" i="1"/>
  <c r="K17" i="1"/>
  <c r="H15" i="1"/>
  <c r="H16" i="1"/>
  <c r="C39" i="1"/>
  <c r="C42" i="1" s="1"/>
  <c r="C69" i="1"/>
  <c r="C16" i="1"/>
  <c r="C26" i="1"/>
  <c r="C27" i="1" s="1"/>
  <c r="C33" i="1" l="1"/>
  <c r="H69" i="1"/>
  <c r="G69" i="1"/>
  <c r="F69" i="1"/>
  <c r="C49" i="1"/>
  <c r="K22" i="1"/>
  <c r="C46" i="1"/>
  <c r="C71" i="1"/>
  <c r="C70" i="1"/>
  <c r="C105" i="1" l="1"/>
  <c r="C107" i="1" s="1"/>
  <c r="C109" i="1" s="1"/>
  <c r="C112" i="1" s="1"/>
  <c r="C59" i="1"/>
  <c r="C86" i="1" s="1"/>
  <c r="E86" i="1" s="1"/>
  <c r="M25" i="1"/>
  <c r="M24" i="1"/>
  <c r="I16" i="1"/>
  <c r="C47" i="1"/>
  <c r="K59" i="1" s="1"/>
  <c r="C51" i="1"/>
  <c r="C110" i="1" l="1"/>
  <c r="C113" i="1" s="1"/>
  <c r="C114" i="1" s="1"/>
  <c r="C108" i="1"/>
  <c r="C93" i="1"/>
  <c r="C95" i="1" s="1"/>
  <c r="C97" i="1" s="1"/>
  <c r="C76" i="1"/>
  <c r="C87" i="1"/>
  <c r="C60" i="1"/>
  <c r="C57" i="1"/>
  <c r="C63" i="1" s="1"/>
  <c r="C66" i="1" s="1"/>
  <c r="C56" i="1"/>
  <c r="C62" i="1" s="1"/>
  <c r="H66" i="1" l="1"/>
  <c r="F66" i="1"/>
  <c r="G66" i="1"/>
  <c r="K69" i="1"/>
  <c r="K70" i="1" s="1"/>
  <c r="C90" i="1"/>
  <c r="N90" i="1" s="1"/>
  <c r="P90" i="1" s="1"/>
  <c r="C89" i="1"/>
  <c r="C96" i="1"/>
  <c r="C98" i="1" s="1"/>
  <c r="C81" i="1"/>
  <c r="C82" i="1" s="1"/>
  <c r="C83" i="1"/>
  <c r="C84" i="1" s="1"/>
  <c r="C77" i="1"/>
  <c r="C68" i="1"/>
  <c r="C67" i="1"/>
  <c r="N89" i="1" l="1"/>
  <c r="P89" i="1" s="1"/>
  <c r="C91" i="1"/>
  <c r="N91" i="1" s="1"/>
  <c r="P91" i="1" s="1"/>
  <c r="L68" i="1"/>
  <c r="K68" i="1"/>
  <c r="M68" i="1"/>
  <c r="F89" i="1"/>
  <c r="K89" i="1" s="1"/>
  <c r="G89" i="1"/>
  <c r="L89" i="1" s="1"/>
  <c r="E89" i="1"/>
  <c r="J89" i="1" s="1"/>
  <c r="E90" i="1"/>
  <c r="J90" i="1" s="1"/>
  <c r="F90" i="1"/>
  <c r="K90" i="1" s="1"/>
  <c r="G90" i="1"/>
  <c r="L90" i="1" s="1"/>
</calcChain>
</file>

<file path=xl/sharedStrings.xml><?xml version="1.0" encoding="utf-8"?>
<sst xmlns="http://schemas.openxmlformats.org/spreadsheetml/2006/main" count="201" uniqueCount="145">
  <si>
    <t>기본 상수</t>
    <phoneticPr fontId="1" type="noConversion"/>
  </si>
  <si>
    <t>볼츠만 상수</t>
    <phoneticPr fontId="1" type="noConversion"/>
  </si>
  <si>
    <t>이름</t>
    <phoneticPr fontId="1" type="noConversion"/>
  </si>
  <si>
    <t>단위</t>
    <phoneticPr fontId="1" type="noConversion"/>
  </si>
  <si>
    <t>J/K</t>
    <phoneticPr fontId="1" type="noConversion"/>
  </si>
  <si>
    <t>진공 유전율</t>
    <phoneticPr fontId="1" type="noConversion"/>
  </si>
  <si>
    <t>전자 전하</t>
    <phoneticPr fontId="1" type="noConversion"/>
  </si>
  <si>
    <t>전자 질량</t>
    <phoneticPr fontId="1" type="noConversion"/>
  </si>
  <si>
    <t>아르곤 질량</t>
    <phoneticPr fontId="1" type="noConversion"/>
  </si>
  <si>
    <t>여기 에너지</t>
    <phoneticPr fontId="1" type="noConversion"/>
  </si>
  <si>
    <t>이온화 에너지</t>
    <phoneticPr fontId="1" type="noConversion"/>
  </si>
  <si>
    <t>V</t>
    <phoneticPr fontId="1" type="noConversion"/>
  </si>
  <si>
    <t>kg</t>
    <phoneticPr fontId="1" type="noConversion"/>
  </si>
  <si>
    <t>C</t>
    <phoneticPr fontId="1" type="noConversion"/>
  </si>
  <si>
    <t>F/m</t>
    <phoneticPr fontId="1" type="noConversion"/>
  </si>
  <si>
    <t>챔버 조건</t>
    <phoneticPr fontId="1" type="noConversion"/>
  </si>
  <si>
    <t>챔버 높이</t>
    <phoneticPr fontId="1" type="noConversion"/>
  </si>
  <si>
    <t>챔버 반지름</t>
    <phoneticPr fontId="1" type="noConversion"/>
  </si>
  <si>
    <t>챔버 볼륨</t>
    <phoneticPr fontId="1" type="noConversion"/>
  </si>
  <si>
    <t>압력</t>
    <phoneticPr fontId="1" type="noConversion"/>
  </si>
  <si>
    <t>온도</t>
    <phoneticPr fontId="1" type="noConversion"/>
  </si>
  <si>
    <t>Kelvin</t>
    <phoneticPr fontId="1" type="noConversion"/>
  </si>
  <si>
    <t>N/m^2</t>
    <phoneticPr fontId="1" type="noConversion"/>
  </si>
  <si>
    <t>Torr</t>
    <phoneticPr fontId="1" type="noConversion"/>
  </si>
  <si>
    <t>m^3</t>
    <phoneticPr fontId="1" type="noConversion"/>
  </si>
  <si>
    <t>m</t>
    <phoneticPr fontId="1" type="noConversion"/>
  </si>
  <si>
    <t>mm</t>
    <phoneticPr fontId="1" type="noConversion"/>
  </si>
  <si>
    <t>이온 평균 행로 계산</t>
    <phoneticPr fontId="1" type="noConversion"/>
  </si>
  <si>
    <t>반지름 휴리스틱(hr)</t>
    <phoneticPr fontId="1" type="noConversion"/>
  </si>
  <si>
    <t>길이 휴리스틱(hl)</t>
    <phoneticPr fontId="1" type="noConversion"/>
  </si>
  <si>
    <t>휴리스틱 계산</t>
    <phoneticPr fontId="1" type="noConversion"/>
  </si>
  <si>
    <t>Aeff</t>
    <phoneticPr fontId="1" type="noConversion"/>
  </si>
  <si>
    <t>deff</t>
    <phoneticPr fontId="1" type="noConversion"/>
  </si>
  <si>
    <t>가스 넘버 밀도 계산</t>
    <phoneticPr fontId="1" type="noConversion"/>
  </si>
  <si>
    <t>ng</t>
    <phoneticPr fontId="1" type="noConversion"/>
  </si>
  <si>
    <t>전자 온도 계산</t>
    <phoneticPr fontId="1" type="noConversion"/>
  </si>
  <si>
    <t>전자 온도</t>
    <phoneticPr fontId="1" type="noConversion"/>
  </si>
  <si>
    <t>봄 쉬스 속도</t>
    <phoneticPr fontId="1" type="noConversion"/>
  </si>
  <si>
    <t>1로 만들어야 한다.</t>
    <phoneticPr fontId="1" type="noConversion"/>
  </si>
  <si>
    <t>비율 상수</t>
    <phoneticPr fontId="1" type="noConversion"/>
  </si>
  <si>
    <t>탄성 충돌 상수(K_el)</t>
    <phoneticPr fontId="1" type="noConversion"/>
  </si>
  <si>
    <t>여기 상수(K_ex)</t>
    <phoneticPr fontId="1" type="noConversion"/>
  </si>
  <si>
    <t>이온화 상수(K_iz)</t>
    <phoneticPr fontId="1" type="noConversion"/>
  </si>
  <si>
    <t>전자 에너지 계산</t>
    <phoneticPr fontId="1" type="noConversion"/>
  </si>
  <si>
    <t>쉬스 인가 전압(V_s)</t>
    <phoneticPr fontId="1" type="noConversion"/>
  </si>
  <si>
    <t>인가 파워</t>
    <phoneticPr fontId="1" type="noConversion"/>
  </si>
  <si>
    <t>파워</t>
    <phoneticPr fontId="1" type="noConversion"/>
  </si>
  <si>
    <t>밀도 계산</t>
    <phoneticPr fontId="1" type="noConversion"/>
  </si>
  <si>
    <t>충돌 주파수</t>
    <phoneticPr fontId="1" type="noConversion"/>
  </si>
  <si>
    <t>rad/s</t>
    <phoneticPr fontId="1" type="noConversion"/>
  </si>
  <si>
    <t>플라즈마 주파수</t>
    <phoneticPr fontId="1" type="noConversion"/>
  </si>
  <si>
    <t>/s</t>
    <phoneticPr fontId="1" type="noConversion"/>
  </si>
  <si>
    <t>omega_pe</t>
    <phoneticPr fontId="1" type="noConversion"/>
  </si>
  <si>
    <t>인가 주파수</t>
    <phoneticPr fontId="1" type="noConversion"/>
  </si>
  <si>
    <t>인가 각주파수</t>
    <phoneticPr fontId="1" type="noConversion"/>
  </si>
  <si>
    <t>conductivity</t>
    <phoneticPr fontId="1" type="noConversion"/>
  </si>
  <si>
    <t>relative permittivity</t>
    <phoneticPr fontId="1" type="noConversion"/>
  </si>
  <si>
    <t>Debye Length</t>
    <phoneticPr fontId="1" type="noConversion"/>
  </si>
  <si>
    <t>um</t>
    <phoneticPr fontId="1" type="noConversion"/>
  </si>
  <si>
    <t>R</t>
    <phoneticPr fontId="1" type="noConversion"/>
  </si>
  <si>
    <t>XL</t>
    <phoneticPr fontId="1" type="noConversion"/>
  </si>
  <si>
    <t>XC</t>
    <phoneticPr fontId="1" type="noConversion"/>
  </si>
  <si>
    <t>L</t>
    <phoneticPr fontId="1" type="noConversion"/>
  </si>
  <si>
    <t>ohm</t>
    <phoneticPr fontId="1" type="noConversion"/>
  </si>
  <si>
    <t>H</t>
    <phoneticPr fontId="1" type="noConversion"/>
  </si>
  <si>
    <t>F</t>
    <phoneticPr fontId="1" type="noConversion"/>
  </si>
  <si>
    <t>nF</t>
    <phoneticPr fontId="1" type="noConversion"/>
  </si>
  <si>
    <t>pF</t>
    <phoneticPr fontId="1" type="noConversion"/>
  </si>
  <si>
    <t>uH</t>
    <phoneticPr fontId="1" type="noConversion"/>
  </si>
  <si>
    <t>nH</t>
    <phoneticPr fontId="1" type="noConversion"/>
  </si>
  <si>
    <t>cm</t>
    <phoneticPr fontId="1" type="noConversion"/>
  </si>
  <si>
    <t>이온 평균 행로</t>
    <phoneticPr fontId="1" type="noConversion"/>
  </si>
  <si>
    <t>m/s</t>
    <phoneticPr fontId="1" type="noConversion"/>
  </si>
  <si>
    <t>eV</t>
    <phoneticPr fontId="1" type="noConversion"/>
  </si>
  <si>
    <t>/m^3</t>
    <phoneticPr fontId="1" type="noConversion"/>
  </si>
  <si>
    <t>충돌 에너지(epsilon_c)</t>
    <phoneticPr fontId="1" type="noConversion"/>
  </si>
  <si>
    <t>전자와 이온 에너지(epsilon_e+epsilon_i)</t>
    <phoneticPr fontId="1" type="noConversion"/>
  </si>
  <si>
    <t>전체 에너지(epsilon_T)</t>
    <phoneticPr fontId="1" type="noConversion"/>
  </si>
  <si>
    <t>Watt</t>
    <phoneticPr fontId="1" type="noConversion"/>
  </si>
  <si>
    <t>/cm^3</t>
    <phoneticPr fontId="1" type="noConversion"/>
  </si>
  <si>
    <t>전자 밀도</t>
    <phoneticPr fontId="1" type="noConversion"/>
  </si>
  <si>
    <t>nu_m</t>
    <phoneticPr fontId="1" type="noConversion"/>
  </si>
  <si>
    <t>Hz</t>
    <phoneticPr fontId="1" type="noConversion"/>
  </si>
  <si>
    <t>nano Henry</t>
    <phoneticPr fontId="1" type="noConversion"/>
  </si>
  <si>
    <t>micro Henry</t>
    <phoneticPr fontId="1" type="noConversion"/>
  </si>
  <si>
    <t>Henry</t>
    <phoneticPr fontId="1" type="noConversion"/>
  </si>
  <si>
    <t>Farad</t>
    <phoneticPr fontId="1" type="noConversion"/>
  </si>
  <si>
    <t>nano Farad</t>
    <phoneticPr fontId="1" type="noConversion"/>
  </si>
  <si>
    <t>pico Farad</t>
    <phoneticPr fontId="1" type="noConversion"/>
  </si>
  <si>
    <t>inductance</t>
    <phoneticPr fontId="1" type="noConversion"/>
  </si>
  <si>
    <t>capacitance</t>
    <phoneticPr fontId="1" type="noConversion"/>
  </si>
  <si>
    <t>resistence</t>
    <phoneticPr fontId="1" type="noConversion"/>
  </si>
  <si>
    <t>바꿔도 되는 항목</t>
    <phoneticPr fontId="1" type="noConversion"/>
  </si>
  <si>
    <t>바꾸면 안되는 항목</t>
    <phoneticPr fontId="1" type="noConversion"/>
  </si>
  <si>
    <t>수치</t>
    <phoneticPr fontId="1" type="noConversion"/>
  </si>
  <si>
    <t>제한 항목</t>
    <phoneticPr fontId="1" type="noConversion"/>
  </si>
  <si>
    <t>sheath_length</t>
    <phoneticPr fontId="1" type="noConversion"/>
  </si>
  <si>
    <t>sheath_electrode</t>
    <phoneticPr fontId="1" type="noConversion"/>
  </si>
  <si>
    <t>sheath_ground</t>
    <phoneticPr fontId="1" type="noConversion"/>
  </si>
  <si>
    <t>C_sheath_electrode</t>
    <phoneticPr fontId="1" type="noConversion"/>
  </si>
  <si>
    <t>C_sheath_ground</t>
    <phoneticPr fontId="1" type="noConversion"/>
  </si>
  <si>
    <t>V_RF</t>
    <phoneticPr fontId="1" type="noConversion"/>
  </si>
  <si>
    <t>V_Bias</t>
    <phoneticPr fontId="1" type="noConversion"/>
  </si>
  <si>
    <t>V_s</t>
    <phoneticPr fontId="1" type="noConversion"/>
  </si>
  <si>
    <t>??</t>
    <phoneticPr fontId="1" type="noConversion"/>
  </si>
  <si>
    <t>m^2</t>
    <phoneticPr fontId="1" type="noConversion"/>
  </si>
  <si>
    <t>Electrode Area</t>
    <phoneticPr fontId="1" type="noConversion"/>
  </si>
  <si>
    <t>Ground Area</t>
    <phoneticPr fontId="1" type="noConversion"/>
  </si>
  <si>
    <t>Phase_rad</t>
    <phoneticPr fontId="1" type="noConversion"/>
  </si>
  <si>
    <t>phase_deg</t>
    <phoneticPr fontId="1" type="noConversion"/>
  </si>
  <si>
    <t>V_a0_avg</t>
    <phoneticPr fontId="1" type="noConversion"/>
  </si>
  <si>
    <t>V_b0_avg</t>
    <phoneticPr fontId="1" type="noConversion"/>
  </si>
  <si>
    <t>V_wall</t>
    <phoneticPr fontId="1" type="noConversion"/>
  </si>
  <si>
    <t>C_sheath_electrode(nF)</t>
    <phoneticPr fontId="1" type="noConversion"/>
  </si>
  <si>
    <t>C_sheath_ground(nF)</t>
    <phoneticPr fontId="1" type="noConversion"/>
  </si>
  <si>
    <t>mm^2</t>
    <phoneticPr fontId="1" type="noConversion"/>
  </si>
  <si>
    <t>벽이 그라운드가 되어 있으므로 벽면 포텐셜은 0</t>
    <phoneticPr fontId="1" type="noConversion"/>
  </si>
  <si>
    <t>I_RF</t>
  </si>
  <si>
    <t>sm</t>
  </si>
  <si>
    <t>J_RF</t>
  </si>
  <si>
    <t>A</t>
  </si>
  <si>
    <t>A/m^2</t>
  </si>
  <si>
    <t>m</t>
  </si>
  <si>
    <t>Cs</t>
  </si>
  <si>
    <t>Cs_sheath_electrode</t>
  </si>
  <si>
    <t>Cs_sheath_ground</t>
  </si>
  <si>
    <t>Gs</t>
  </si>
  <si>
    <t>F/m^2</t>
  </si>
  <si>
    <t>ue</t>
  </si>
  <si>
    <t>Gs_sheath_electrode</t>
  </si>
  <si>
    <t>Gs_sheath_ground</t>
  </si>
  <si>
    <t>S/m^2</t>
  </si>
  <si>
    <t>S</t>
  </si>
  <si>
    <t>Rs_sheath_electrode</t>
  </si>
  <si>
    <t>Rs_sheath_ground</t>
  </si>
  <si>
    <t>ohm</t>
  </si>
  <si>
    <t>nF</t>
  </si>
  <si>
    <t>430kHz</t>
  </si>
  <si>
    <t>2MHz</t>
  </si>
  <si>
    <t>12.9MHz</t>
  </si>
  <si>
    <t>ratio</t>
  </si>
  <si>
    <t>resonance</t>
  </si>
  <si>
    <t>MHz</t>
  </si>
  <si>
    <t>Hz</t>
  </si>
  <si>
    <t>Cap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</si>
</sst>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121627</xdr:colOff>
      <xdr:row>19</xdr:row>
      <xdr:rowOff>199292</xdr:rowOff>
    </xdr:from>
    <xdr:ext cx="2071015" cy="4725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56F4D4-FC13-54A6-B0C4-6D83CFB49524}"/>
                </a:ext>
              </a:extLst>
            </xdr:cNvPr>
            <xdr:cNvSpPr txBox="1"/>
          </xdr:nvSpPr>
          <xdr:spPr>
            <a:xfrm>
              <a:off x="5389685" y="4236427"/>
              <a:ext cx="2071015" cy="472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i="1" kern="1200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𝑐𝑚</m:t>
                    </m:r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330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𝑇𝑜𝑟𝑟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56F4D4-FC13-54A6-B0C4-6D83CFB49524}"/>
                </a:ext>
              </a:extLst>
            </xdr:cNvPr>
            <xdr:cNvSpPr txBox="1"/>
          </xdr:nvSpPr>
          <xdr:spPr>
            <a:xfrm>
              <a:off x="5389685" y="4236427"/>
              <a:ext cx="2071015" cy="472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i="0" kern="1200">
                  <a:latin typeface="Cambria Math" panose="02040503050406030204" pitchFamily="18" charset="0"/>
                </a:rPr>
                <a:t>λ</a:t>
              </a:r>
              <a:r>
                <a:rPr lang="en-US" altLang="ko-KR" sz="1500" i="0" kern="120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𝑖 (𝑐𝑚)=1/(330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×𝑝(𝑇𝑜𝑟𝑟) 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105508</xdr:colOff>
      <xdr:row>22</xdr:row>
      <xdr:rowOff>168519</xdr:rowOff>
    </xdr:from>
    <xdr:ext cx="2490810" cy="5734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DE7793E-E747-4A8B-963E-07F045994827}"/>
                </a:ext>
              </a:extLst>
            </xdr:cNvPr>
            <xdr:cNvSpPr txBox="1"/>
          </xdr:nvSpPr>
          <xdr:spPr>
            <a:xfrm>
              <a:off x="5373566" y="4843096"/>
              <a:ext cx="2490810" cy="5734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𝑙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≡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𝑠𝑙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≈0.86</m:t>
                    </m:r>
                    <m:sSup>
                      <m:sSup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3+</m:t>
                            </m:r>
                            <m:f>
                              <m:f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𝑙</m:t>
                                </m:r>
                              </m:num>
                              <m:den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λ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−1/2</m:t>
                        </m:r>
                      </m:sup>
                    </m:sSup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DE7793E-E747-4A8B-963E-07F045994827}"/>
                </a:ext>
              </a:extLst>
            </xdr:cNvPr>
            <xdr:cNvSpPr txBox="1"/>
          </xdr:nvSpPr>
          <xdr:spPr>
            <a:xfrm>
              <a:off x="5373566" y="4843096"/>
              <a:ext cx="2490810" cy="5734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500" b="0" i="0" kern="1200">
                  <a:latin typeface="Cambria Math" panose="02040503050406030204" pitchFamily="18" charset="0"/>
                </a:rPr>
                <a:t>ℎ_𝑙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≡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𝑛_𝑠𝑙/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≈0.86(3+𝑙/(2</a:t>
              </a:r>
              <a:r>
                <a:rPr lang="el-GR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λ</a:t>
              </a:r>
              <a:r>
                <a:rPr lang="en-US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))^(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−1/2)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9</xdr:col>
      <xdr:colOff>82062</xdr:colOff>
      <xdr:row>22</xdr:row>
      <xdr:rowOff>174381</xdr:rowOff>
    </xdr:from>
    <xdr:ext cx="2326791" cy="5734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CB20551-E082-45DF-82C8-EC8A90B26CEF}"/>
                </a:ext>
              </a:extLst>
            </xdr:cNvPr>
            <xdr:cNvSpPr txBox="1"/>
          </xdr:nvSpPr>
          <xdr:spPr>
            <a:xfrm>
              <a:off x="8105043" y="4848958"/>
              <a:ext cx="2326791" cy="5734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≡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𝑠𝑟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≈0.8</m:t>
                    </m:r>
                    <m:sSup>
                      <m:sSup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4+</m:t>
                            </m:r>
                            <m:f>
                              <m:f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𝑅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λ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−1/2</m:t>
                        </m:r>
                      </m:sup>
                    </m:sSup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CB20551-E082-45DF-82C8-EC8A90B26CEF}"/>
                </a:ext>
              </a:extLst>
            </xdr:cNvPr>
            <xdr:cNvSpPr txBox="1"/>
          </xdr:nvSpPr>
          <xdr:spPr>
            <a:xfrm>
              <a:off x="8105043" y="4848958"/>
              <a:ext cx="2326791" cy="5734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500" b="0" i="0" kern="1200">
                  <a:latin typeface="Cambria Math" panose="02040503050406030204" pitchFamily="18" charset="0"/>
                </a:rPr>
                <a:t>ℎ_𝑟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≡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𝑛_𝑠𝑟/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≈0.8(4+𝑅/</a:t>
              </a:r>
              <a:r>
                <a:rPr lang="el-GR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λ</a:t>
              </a:r>
              <a:r>
                <a:rPr lang="en-US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)^(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−1/2)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104042</xdr:colOff>
      <xdr:row>27</xdr:row>
      <xdr:rowOff>123092</xdr:rowOff>
    </xdr:from>
    <xdr:ext cx="823622" cy="4699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DEEAE7F-A73A-4F97-AC94-2EC465346DF0}"/>
                </a:ext>
              </a:extLst>
            </xdr:cNvPr>
            <xdr:cNvSpPr txBox="1"/>
          </xdr:nvSpPr>
          <xdr:spPr>
            <a:xfrm>
              <a:off x="5372100" y="5860073"/>
              <a:ext cx="823622" cy="4699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</m:sub>
                        </m:s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den>
                    </m:f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DEEAE7F-A73A-4F97-AC94-2EC465346DF0}"/>
                </a:ext>
              </a:extLst>
            </xdr:cNvPr>
            <xdr:cNvSpPr txBox="1"/>
          </xdr:nvSpPr>
          <xdr:spPr>
            <a:xfrm>
              <a:off x="5372100" y="5860073"/>
              <a:ext cx="823622" cy="4699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500" b="0" i="0" kern="1200">
                  <a:latin typeface="Cambria Math" panose="02040503050406030204" pitchFamily="18" charset="0"/>
                </a:rPr>
                <a:t>𝑛_𝑔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𝑃/(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 𝑇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7</xdr:col>
      <xdr:colOff>687265</xdr:colOff>
      <xdr:row>30</xdr:row>
      <xdr:rowOff>164123</xdr:rowOff>
    </xdr:from>
    <xdr:ext cx="1588192" cy="4869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C1DDD81-5C9B-45F2-A510-78834E344AD5}"/>
                </a:ext>
              </a:extLst>
            </xdr:cNvPr>
            <xdr:cNvSpPr txBox="1"/>
          </xdr:nvSpPr>
          <xdr:spPr>
            <a:xfrm>
              <a:off x="7332784" y="6538546"/>
              <a:ext cx="1588192" cy="4869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𝑖𝑧</m:t>
                            </m:r>
                          </m:sub>
                        </m:sSub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𝑢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</m:sub>
                        </m:sSub>
                        <m:d>
                          <m:d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sub>
                            </m:sSub>
                          </m:e>
                        </m:d>
                      </m:den>
                    </m:f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C1DDD81-5C9B-45F2-A510-78834E344AD5}"/>
                </a:ext>
              </a:extLst>
            </xdr:cNvPr>
            <xdr:cNvSpPr txBox="1"/>
          </xdr:nvSpPr>
          <xdr:spPr>
            <a:xfrm>
              <a:off x="7332784" y="6538546"/>
              <a:ext cx="1588192" cy="4869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500" b="0" i="0" kern="1200">
                  <a:latin typeface="Cambria Math" panose="02040503050406030204" pitchFamily="18" charset="0"/>
                </a:rPr>
                <a:t>(𝐾_𝑖𝑧 (𝑇_𝑒 ))/(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 (𝑇_𝑒 )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 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𝑛_𝑔 𝑑_𝑒𝑓𝑓=1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99646</xdr:colOff>
      <xdr:row>30</xdr:row>
      <xdr:rowOff>155330</xdr:rowOff>
    </xdr:from>
    <xdr:ext cx="1202380" cy="4919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732DC36-867C-465A-8938-443E60DE282A}"/>
                </a:ext>
              </a:extLst>
            </xdr:cNvPr>
            <xdr:cNvSpPr txBox="1"/>
          </xdr:nvSpPr>
          <xdr:spPr>
            <a:xfrm>
              <a:off x="5367704" y="6529753"/>
              <a:ext cx="1202380" cy="4919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  <m:sSub>
                                  <m:sSub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𝑒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1/2</m:t>
                        </m:r>
                      </m:sup>
                    </m:sSup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732DC36-867C-465A-8938-443E60DE282A}"/>
                </a:ext>
              </a:extLst>
            </xdr:cNvPr>
            <xdr:cNvSpPr txBox="1"/>
          </xdr:nvSpPr>
          <xdr:spPr>
            <a:xfrm>
              <a:off x="5367704" y="6529753"/>
              <a:ext cx="1202380" cy="4919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𝑢_𝐵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=((𝑒𝑇_𝑒)/𝑀)^(1/2)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106973</xdr:colOff>
      <xdr:row>38</xdr:row>
      <xdr:rowOff>169985</xdr:rowOff>
    </xdr:from>
    <xdr:ext cx="1502014" cy="2369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497A8FF-F8FD-4E3C-AC65-BD12E6A8202C}"/>
                </a:ext>
              </a:extLst>
            </xdr:cNvPr>
            <xdr:cNvSpPr txBox="1"/>
          </xdr:nvSpPr>
          <xdr:spPr>
            <a:xfrm>
              <a:off x="5375031" y="8244254"/>
              <a:ext cx="1502014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altLang="ko-KR" sz="1500" b="0" i="1" kern="1200">
                            <a:latin typeface="Cambria Math" panose="02040503050406030204" pitchFamily="18" charset="0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497A8FF-F8FD-4E3C-AC65-BD12E6A8202C}"/>
                </a:ext>
              </a:extLst>
            </xdr:cNvPr>
            <xdr:cNvSpPr txBox="1"/>
          </xdr:nvSpPr>
          <xdr:spPr>
            <a:xfrm>
              <a:off x="5375031" y="8244254"/>
              <a:ext cx="1502014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b="0" i="0" kern="1200">
                  <a:latin typeface="Cambria Math" panose="02040503050406030204" pitchFamily="18" charset="0"/>
                </a:rPr>
                <a:t>Ԑ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_𝑇=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𝑐+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𝑒+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8</xdr:col>
      <xdr:colOff>39565</xdr:colOff>
      <xdr:row>38</xdr:row>
      <xdr:rowOff>58615</xdr:rowOff>
    </xdr:from>
    <xdr:ext cx="2086019" cy="432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FDCD97F-9AEB-429C-A256-16B14F57D0DC}"/>
                </a:ext>
              </a:extLst>
            </xdr:cNvPr>
            <xdr:cNvSpPr txBox="1"/>
          </xdr:nvSpPr>
          <xdr:spPr>
            <a:xfrm>
              <a:off x="7373815" y="8132884"/>
              <a:ext cx="2086019" cy="432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FDCD97F-9AEB-429C-A256-16B14F57D0DC}"/>
                </a:ext>
              </a:extLst>
            </xdr:cNvPr>
            <xdr:cNvSpPr txBox="1"/>
          </xdr:nvSpPr>
          <xdr:spPr>
            <a:xfrm>
              <a:off x="7373815" y="8132884"/>
              <a:ext cx="2086019" cy="432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𝑒+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𝑖=𝑉_𝑠+1/2 𝑇_𝑒+2𝑇_𝑒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11</xdr:col>
      <xdr:colOff>625719</xdr:colOff>
      <xdr:row>37</xdr:row>
      <xdr:rowOff>139212</xdr:rowOff>
    </xdr:from>
    <xdr:ext cx="2979127" cy="6220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B9900C3-66A7-4D2A-8197-C75D2EB9D6D8}"/>
                </a:ext>
              </a:extLst>
            </xdr:cNvPr>
            <xdr:cNvSpPr txBox="1"/>
          </xdr:nvSpPr>
          <xdr:spPr>
            <a:xfrm>
              <a:off x="10026161" y="8001000"/>
              <a:ext cx="2979127" cy="6220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altLang="ko-KR" sz="1500" b="0" i="1" kern="1200">
                            <a:latin typeface="Cambria Math" panose="02040503050406030204" pitchFamily="18" charset="0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𝑖𝑧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Ԑ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𝑖𝑧</m:t>
                            </m:r>
                          </m:sub>
                        </m:s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𝑒𝑥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Ԑ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𝑒𝑥</m:t>
                            </m:r>
                          </m:sub>
                        </m:s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𝑒𝑙</m:t>
                            </m:r>
                          </m:sub>
                        </m:sSub>
                        <m:f>
                          <m:f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num>
                          <m:den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</m:den>
                        </m:f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𝑖𝑧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B9900C3-66A7-4D2A-8197-C75D2EB9D6D8}"/>
                </a:ext>
              </a:extLst>
            </xdr:cNvPr>
            <xdr:cNvSpPr txBox="1"/>
          </xdr:nvSpPr>
          <xdr:spPr>
            <a:xfrm>
              <a:off x="10026161" y="8001000"/>
              <a:ext cx="2979127" cy="6220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altLang="ko-KR" sz="1500" b="0" i="0" kern="1200">
                  <a:latin typeface="Cambria Math" panose="02040503050406030204" pitchFamily="18" charset="0"/>
                </a:rPr>
                <a:t>Ԑ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_𝑐=(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𝐾_𝑖𝑧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𝑖𝑧+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𝑒𝑥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𝑒𝑥+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𝑒𝑙  3𝑚/𝑀 𝑇_𝑒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𝐾_𝑖𝑧 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19</xdr:col>
      <xdr:colOff>80597</xdr:colOff>
      <xdr:row>38</xdr:row>
      <xdr:rowOff>79131</xdr:rowOff>
    </xdr:from>
    <xdr:ext cx="1390650" cy="2369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A057BE8-C138-47CF-81FF-8A3018833190}"/>
                </a:ext>
              </a:extLst>
            </xdr:cNvPr>
            <xdr:cNvSpPr txBox="1"/>
          </xdr:nvSpPr>
          <xdr:spPr>
            <a:xfrm>
              <a:off x="14990885" y="8153400"/>
              <a:ext cx="1390650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𝑖𝑧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=15.76</m:t>
                    </m:r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A057BE8-C138-47CF-81FF-8A3018833190}"/>
                </a:ext>
              </a:extLst>
            </xdr:cNvPr>
            <xdr:cNvSpPr txBox="1"/>
          </xdr:nvSpPr>
          <xdr:spPr>
            <a:xfrm>
              <a:off x="14990885" y="8153400"/>
              <a:ext cx="1390650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𝑖𝑧=15.76𝑉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16</xdr:col>
      <xdr:colOff>599343</xdr:colOff>
      <xdr:row>38</xdr:row>
      <xdr:rowOff>92319</xdr:rowOff>
    </xdr:from>
    <xdr:ext cx="1390650" cy="2369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2E0FAA9-4CBC-40F7-9581-40F774E9BA51}"/>
                </a:ext>
              </a:extLst>
            </xdr:cNvPr>
            <xdr:cNvSpPr txBox="1"/>
          </xdr:nvSpPr>
          <xdr:spPr>
            <a:xfrm>
              <a:off x="13443439" y="8166588"/>
              <a:ext cx="1390650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Ԑ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=12.14</m:t>
                    </m:r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2E0FAA9-4CBC-40F7-9581-40F774E9BA51}"/>
                </a:ext>
              </a:extLst>
            </xdr:cNvPr>
            <xdr:cNvSpPr txBox="1"/>
          </xdr:nvSpPr>
          <xdr:spPr>
            <a:xfrm>
              <a:off x="13443439" y="8166588"/>
              <a:ext cx="1390650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_𝑒𝑥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=12.14𝑉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68873</xdr:colOff>
      <xdr:row>44</xdr:row>
      <xdr:rowOff>58616</xdr:rowOff>
    </xdr:from>
    <xdr:ext cx="1380571" cy="4972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B4E6BF6-9F98-4279-AF66-8F38B139C3DA}"/>
                </a:ext>
              </a:extLst>
            </xdr:cNvPr>
            <xdr:cNvSpPr txBox="1"/>
          </xdr:nvSpPr>
          <xdr:spPr>
            <a:xfrm>
              <a:off x="5336931" y="9407770"/>
              <a:ext cx="1380571" cy="4972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𝑎𝑏𝑠</m:t>
                            </m:r>
                          </m:sub>
                        </m:sSub>
                      </m:num>
                      <m:den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𝑒</m:t>
                        </m:r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𝑒𝑓𝑓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Ԑ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B4E6BF6-9F98-4279-AF66-8F38B139C3DA}"/>
                </a:ext>
              </a:extLst>
            </xdr:cNvPr>
            <xdr:cNvSpPr txBox="1"/>
          </xdr:nvSpPr>
          <xdr:spPr>
            <a:xfrm>
              <a:off x="5336931" y="9407770"/>
              <a:ext cx="1380571" cy="4972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500" b="0" i="0" kern="1200">
                  <a:latin typeface="Cambria Math" panose="02040503050406030204" pitchFamily="18" charset="0"/>
                </a:rPr>
                <a:t>𝑛_0=𝑃_𝑎𝑏𝑠/(𝑒𝑢_𝐵 𝐴_𝑒𝑓𝑓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Ԑ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_𝑇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82062</xdr:colOff>
      <xdr:row>47</xdr:row>
      <xdr:rowOff>181707</xdr:rowOff>
    </xdr:from>
    <xdr:ext cx="2071273" cy="2495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526215C-349E-4C64-A82A-422E4B582161}"/>
                </a:ext>
              </a:extLst>
            </xdr:cNvPr>
            <xdr:cNvSpPr txBox="1"/>
          </xdr:nvSpPr>
          <xdr:spPr>
            <a:xfrm>
              <a:off x="6852139" y="10168303"/>
              <a:ext cx="2071273" cy="249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b="0" i="1" kern="1200">
                            <a:latin typeface="Cambria Math" panose="02040503050406030204" pitchFamily="18" charset="0"/>
                          </a:rPr>
                          <m:t>ν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d>
                      <m:d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</m:d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𝑒𝑙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526215C-349E-4C64-A82A-422E4B582161}"/>
                </a:ext>
              </a:extLst>
            </xdr:cNvPr>
            <xdr:cNvSpPr txBox="1"/>
          </xdr:nvSpPr>
          <xdr:spPr>
            <a:xfrm>
              <a:off x="6852139" y="10168303"/>
              <a:ext cx="2071273" cy="249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b="0" i="0" kern="1200">
                  <a:latin typeface="Cambria Math" panose="02040503050406030204" pitchFamily="18" charset="0"/>
                </a:rPr>
                <a:t>ν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_𝑚=𝑛_𝑔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 (𝑣)𝑣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=𝑛_𝑔 𝐾_𝑒𝑙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52753</xdr:colOff>
      <xdr:row>50</xdr:row>
      <xdr:rowOff>57151</xdr:rowOff>
    </xdr:from>
    <xdr:ext cx="1848006" cy="681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4EBABB6-E9E1-485E-A14F-17D3F106622D}"/>
                </a:ext>
              </a:extLst>
            </xdr:cNvPr>
            <xdr:cNvSpPr txBox="1"/>
          </xdr:nvSpPr>
          <xdr:spPr>
            <a:xfrm>
              <a:off x="5320811" y="10681189"/>
              <a:ext cx="1848006" cy="681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b="0" i="1" kern="1200">
                            <a:latin typeface="Cambria Math" panose="02040503050406030204" pitchFamily="18" charset="0"/>
                          </a:rPr>
                          <m:t>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𝑝𝑒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  <m:sSup>
                              <m:sSup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ko-KR" altLang="en-US" sz="1500" b="0" i="1" kern="1200">
                                    <a:latin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</m:e>
                    </m:rad>
                    <m:d>
                      <m:dPr>
                        <m:begChr m:val="["/>
                        <m:endChr m:val="]"/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𝑟𝑎𝑑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d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4EBABB6-E9E1-485E-A14F-17D3F106622D}"/>
                </a:ext>
              </a:extLst>
            </xdr:cNvPr>
            <xdr:cNvSpPr txBox="1"/>
          </xdr:nvSpPr>
          <xdr:spPr>
            <a:xfrm>
              <a:off x="5320811" y="10681189"/>
              <a:ext cx="1848006" cy="681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b="0" i="0" kern="1200">
                  <a:latin typeface="Cambria Math" panose="02040503050406030204" pitchFamily="18" charset="0"/>
                </a:rPr>
                <a:t>ω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_𝑝𝑒=√((𝑛_𝑒 𝑒^2)/(𝑚_𝑒 </a:t>
              </a:r>
              <a:r>
                <a:rPr lang="ko-KR" altLang="en-US" sz="1500" b="0" i="0" kern="1200">
                  <a:latin typeface="Cambria Math" panose="02040503050406030204" pitchFamily="18" charset="0"/>
                </a:rPr>
                <a:t>𝜀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_0 )) [𝑟𝑎𝑑/𝑠]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36634</xdr:colOff>
      <xdr:row>54</xdr:row>
      <xdr:rowOff>158262</xdr:rowOff>
    </xdr:from>
    <xdr:ext cx="9417065" cy="537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1ACAF33-FF4E-4BB8-95DD-1EC4BA9C5885}"/>
                </a:ext>
              </a:extLst>
            </xdr:cNvPr>
            <xdr:cNvSpPr txBox="1"/>
          </xdr:nvSpPr>
          <xdr:spPr>
            <a:xfrm>
              <a:off x="5304692" y="11632224"/>
              <a:ext cx="9417065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𝑗</m:t>
                    </m:r>
                    <m:r>
                      <m:rPr>
                        <m:sty m:val="p"/>
                      </m:rPr>
                      <a:rPr lang="el-GR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ω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ko-K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κ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  <m:r>
                      <m:rPr>
                        <m:sty m:val="p"/>
                      </m:rPr>
                      <a:rPr lang="el-GR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ω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ko-K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b>
                        </m:sSub>
                        <m:sSup>
                          <m:sSupPr>
                            <m:ctrlPr>
                              <a:rPr lang="en-US" altLang="ko-KR" sz="15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ν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altLang="ko-KR" sz="15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b>
                        </m:sSub>
                        <m:d>
                          <m:dPr>
                            <m:ctrlPr>
                              <a:rPr lang="en-US" altLang="ko-KR" sz="15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l-GR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ω</m:t>
                                </m:r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ν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den>
                    </m:f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  <m:r>
                      <m:rPr>
                        <m:sty m:val="p"/>
                      </m:rPr>
                      <a:rPr lang="el-GR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ω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ko-K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f>
                          <m:f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sub>
                            </m:sSub>
                            <m:sSup>
                              <m:sSup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ko-KR" altLang="en-US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US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ω</m:t>
                                    </m:r>
                                  </m:e>
                                  <m:sup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n-US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ν</m:t>
                                        </m:r>
                                      </m:e>
                                      <m:sub>
                                        <m:r>
                                          <a:rPr lang="en-US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𝑚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den>
                        </m:f>
                      </m:e>
                    </m:d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ko-KR" altLang="en-US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ν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altLang="ko-KR" sz="15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l-GR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ω</m:t>
                                </m:r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ν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den>
                    </m:f>
                    <m:sSup>
                      <m:sSup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ko-KR" altLang="en-US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𝜔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𝑝𝑒</m:t>
                            </m:r>
                          </m:sub>
                        </m:sSub>
                      </m:e>
                      <m:sup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  <m:r>
                      <m:rPr>
                        <m:sty m:val="p"/>
                      </m:rPr>
                      <a:rPr lang="el-GR" altLang="ko-KR" sz="15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ω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ko-KR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f>
                          <m:f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ko-KR" altLang="en-US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𝜔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𝑝𝑒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d>
                              <m:dPr>
                                <m:ctrlPr>
                                  <a:rPr lang="en-US" altLang="ko-KR" sz="15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US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ω</m:t>
                                    </m:r>
                                  </m:e>
                                  <m:sup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n-US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ν</m:t>
                                        </m:r>
                                      </m:e>
                                      <m:sub>
                                        <m:r>
                                          <a:rPr lang="en-US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𝑚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den>
                        </m:f>
                      </m:e>
                    </m:d>
                  </m:oMath>
                </m:oMathPara>
              </a14:m>
              <a:endParaRPr lang="ko-KR" altLang="ko-KR" sz="1500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1ACAF33-FF4E-4BB8-95DD-1EC4BA9C5885}"/>
                </a:ext>
              </a:extLst>
            </xdr:cNvPr>
            <xdr:cNvSpPr txBox="1"/>
          </xdr:nvSpPr>
          <xdr:spPr>
            <a:xfrm>
              <a:off x="5304692" y="11632224"/>
              <a:ext cx="9417065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500" b="0" i="0" kern="1200">
                  <a:latin typeface="Cambria Math" panose="02040503050406030204" pitchFamily="18" charset="0"/>
                </a:rPr>
                <a:t>𝑗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ko-K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κ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_𝑃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=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𝑃+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ko-K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𝑛_𝑒 𝑒^2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ν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_𝑚)/(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𝑚_𝑒 (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^2+〖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ν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_𝑚〗^2 )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)+𝑗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ko-K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 (1−(𝑛_𝑒 𝑒^2)/(𝑚_𝑒 </a:t>
              </a:r>
              <a:r>
                <a:rPr lang="ko-KR" altLang="en-US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 (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^2+〖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ν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_𝑚〗^2 ) ))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ko-KR" altLang="en-US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 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ν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_𝑚)/((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^2+〖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ν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_𝑚〗^2 ) )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</a:t>
              </a:r>
              <a:r>
                <a:rPr lang="ko-KR" altLang="en-US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𝜔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_𝑝𝑒〗^2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+𝑗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ko-K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 (1−〖</a:t>
              </a:r>
              <a:r>
                <a:rPr lang="ko-KR" altLang="en-US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𝜔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_𝑝𝑒〗^2/((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^2+〖</a:t>
              </a:r>
              <a:r>
                <a:rPr lang="el-GR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ν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_𝑚〗^2 ) ))</a:t>
              </a:r>
              <a:endParaRPr lang="ko-KR" altLang="ko-KR" sz="1500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54220</xdr:colOff>
      <xdr:row>57</xdr:row>
      <xdr:rowOff>205153</xdr:rowOff>
    </xdr:from>
    <xdr:ext cx="1199046" cy="681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D9653BF-70C6-465F-8BFC-5914B77F2C2B}"/>
                </a:ext>
              </a:extLst>
            </xdr:cNvPr>
            <xdr:cNvSpPr txBox="1"/>
          </xdr:nvSpPr>
          <xdr:spPr>
            <a:xfrm>
              <a:off x="5322278" y="12316557"/>
              <a:ext cx="1199046" cy="681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i="1" kern="1200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ko-KR" altLang="en-US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  <m:sSup>
                              <m:sSup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𝑞</m:t>
                                    </m:r>
                                  </m:e>
                                  <m:sub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𝑒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D9653BF-70C6-465F-8BFC-5914B77F2C2B}"/>
                </a:ext>
              </a:extLst>
            </xdr:cNvPr>
            <xdr:cNvSpPr txBox="1"/>
          </xdr:nvSpPr>
          <xdr:spPr>
            <a:xfrm>
              <a:off x="5322278" y="12316557"/>
              <a:ext cx="1199046" cy="681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i="0" kern="1200">
                  <a:latin typeface="Cambria Math" panose="02040503050406030204" pitchFamily="18" charset="0"/>
                </a:rPr>
                <a:t>λ</a:t>
              </a:r>
              <a:r>
                <a:rPr lang="en-US" altLang="ko-KR" sz="1500" i="0" kern="120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𝐷=√((</a:t>
              </a:r>
              <a:r>
                <a:rPr lang="ko-KR" altLang="en-US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_0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𝑘_𝐵 𝑇_𝑒)/(𝑛_𝑒 〖𝑞_𝑒〗^2 ))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7</xdr:col>
      <xdr:colOff>89390</xdr:colOff>
      <xdr:row>57</xdr:row>
      <xdr:rowOff>189034</xdr:rowOff>
    </xdr:from>
    <xdr:ext cx="1761701" cy="681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1226A25-E7FD-444C-B663-8E45E61A2A5C}"/>
                </a:ext>
              </a:extLst>
            </xdr:cNvPr>
            <xdr:cNvSpPr txBox="1"/>
          </xdr:nvSpPr>
          <xdr:spPr>
            <a:xfrm>
              <a:off x="6734909" y="12300438"/>
              <a:ext cx="1761701" cy="681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i="1" kern="1200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≅743</m:t>
                    </m:r>
                    <m:rad>
                      <m:radPr>
                        <m:degHide m:val="on"/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𝑒𝑉</m:t>
                                </m:r>
                              </m:e>
                            </m:d>
                          </m:num>
                          <m:den>
                            <m:sSub>
                              <m:sSub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𝑐𝑚</m:t>
                                    </m:r>
                                  </m:e>
                                  <m:sup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−3</m:t>
                                    </m:r>
                                  </m:sup>
                                </m:sSup>
                              </m:e>
                            </m:d>
                          </m:den>
                        </m:f>
                      </m:e>
                    </m:rad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1226A25-E7FD-444C-B663-8E45E61A2A5C}"/>
                </a:ext>
              </a:extLst>
            </xdr:cNvPr>
            <xdr:cNvSpPr txBox="1"/>
          </xdr:nvSpPr>
          <xdr:spPr>
            <a:xfrm>
              <a:off x="6734909" y="12300438"/>
              <a:ext cx="1761701" cy="681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ko-KR" sz="1500" i="0" kern="1200">
                  <a:latin typeface="Cambria Math" panose="02040503050406030204" pitchFamily="18" charset="0"/>
                </a:rPr>
                <a:t>λ</a:t>
              </a:r>
              <a:r>
                <a:rPr lang="en-US" altLang="ko-KR" sz="1500" i="0" kern="120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𝐷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≅743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√((𝑇_𝑒 (𝑒𝑉))/(𝑛_𝑒 (〖𝑐𝑚〗^(−3) ) ))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90855</xdr:colOff>
      <xdr:row>75</xdr:row>
      <xdr:rowOff>7327</xdr:rowOff>
    </xdr:from>
    <xdr:ext cx="1021049" cy="2369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12098A0-0359-481D-8048-DBE8ABD0A2BA}"/>
                </a:ext>
              </a:extLst>
            </xdr:cNvPr>
            <xdr:cNvSpPr txBox="1"/>
          </xdr:nvSpPr>
          <xdr:spPr>
            <a:xfrm>
              <a:off x="6860932" y="15943385"/>
              <a:ext cx="1021049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=20×</m:t>
                    </m:r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i="1" kern="1200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12098A0-0359-481D-8048-DBE8ABD0A2BA}"/>
                </a:ext>
              </a:extLst>
            </xdr:cNvPr>
            <xdr:cNvSpPr txBox="1"/>
          </xdr:nvSpPr>
          <xdr:spPr>
            <a:xfrm>
              <a:off x="6860932" y="15943385"/>
              <a:ext cx="1021049" cy="236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𝑠=20×</a:t>
              </a:r>
              <a:r>
                <a:rPr lang="el-GR" altLang="ko-KR" sz="1500" i="0" kern="1200">
                  <a:latin typeface="Cambria Math" panose="02040503050406030204" pitchFamily="18" charset="0"/>
                </a:rPr>
                <a:t>λ</a:t>
              </a:r>
              <a:r>
                <a:rPr lang="en-US" altLang="ko-KR" sz="1500" i="0" kern="120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𝐷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118698</xdr:colOff>
      <xdr:row>103</xdr:row>
      <xdr:rowOff>35169</xdr:rowOff>
    </xdr:from>
    <xdr:ext cx="2831609" cy="518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C2D36F1-BC22-414E-ADA7-68CE57646B37}"/>
                </a:ext>
              </a:extLst>
            </xdr:cNvPr>
            <xdr:cNvSpPr txBox="1"/>
          </xdr:nvSpPr>
          <xdr:spPr>
            <a:xfrm>
              <a:off x="6888775" y="17883554"/>
              <a:ext cx="2831609" cy="518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𝑏𝑖𝑎𝑠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𝑟𝑓</m:t>
                        </m:r>
                      </m:sub>
                    </m:sSub>
                    <m:func>
                      <m:func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ko-KR" sz="1500" b="0" i="0" kern="120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ko-KR" altLang="en-US" sz="1500" b="0" i="1" kern="1200"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num>
                              <m:den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f>
                              <m:f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𝑠𝑏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𝑏</m:t>
                                    </m:r>
                                  </m:sub>
                                </m:sSub>
                                <m: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𝑠𝑎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𝑠𝑏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𝑏</m:t>
                                    </m:r>
                                  </m:sub>
                                </m:sSub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𝑠𝑎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</m:func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C2D36F1-BC22-414E-ADA7-68CE57646B37}"/>
                </a:ext>
              </a:extLst>
            </xdr:cNvPr>
            <xdr:cNvSpPr txBox="1"/>
          </xdr:nvSpPr>
          <xdr:spPr>
            <a:xfrm>
              <a:off x="6888775" y="17883554"/>
              <a:ext cx="2831609" cy="518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𝑉_𝑏𝑖𝑎𝑠=𝑉_𝑟𝑓  sin⁡(</a:t>
              </a:r>
              <a:r>
                <a:rPr lang="ko-KR" altLang="en-US" sz="1500" b="0" i="0" kern="120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/2  (𝑛_𝑠𝑏 𝐴_𝑏−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𝑛_𝑠𝑎 𝐴_𝑎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𝑛_𝑠𝑏 𝐴_𝑏+𝑛_𝑠𝑎 𝐴_𝑎 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87924</xdr:colOff>
      <xdr:row>107</xdr:row>
      <xdr:rowOff>55684</xdr:rowOff>
    </xdr:from>
    <xdr:ext cx="1421608" cy="2492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374D35D-7E18-456B-B030-DBB8407A300C}"/>
                </a:ext>
              </a:extLst>
            </xdr:cNvPr>
            <xdr:cNvSpPr txBox="1"/>
          </xdr:nvSpPr>
          <xdr:spPr>
            <a:xfrm>
              <a:off x="6858001" y="18753992"/>
              <a:ext cx="1421608" cy="249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𝑟𝑓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𝑏𝑖𝑎𝑠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374D35D-7E18-456B-B030-DBB8407A300C}"/>
                </a:ext>
              </a:extLst>
            </xdr:cNvPr>
            <xdr:cNvSpPr txBox="1"/>
          </xdr:nvSpPr>
          <xdr:spPr>
            <a:xfrm>
              <a:off x="6858001" y="18753992"/>
              <a:ext cx="1421608" cy="249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𝑉_𝑎0=𝑉_𝑟𝑓+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𝑉_𝑏𝑖𝑎𝑠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5</xdr:col>
      <xdr:colOff>86459</xdr:colOff>
      <xdr:row>110</xdr:row>
      <xdr:rowOff>120162</xdr:rowOff>
    </xdr:from>
    <xdr:ext cx="1417952" cy="2492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7C7A4B4-2BBB-4603-ABA3-F939AE1E2450}"/>
                </a:ext>
              </a:extLst>
            </xdr:cNvPr>
            <xdr:cNvSpPr txBox="1"/>
          </xdr:nvSpPr>
          <xdr:spPr>
            <a:xfrm>
              <a:off x="6856536" y="19455912"/>
              <a:ext cx="1417952" cy="249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𝑟𝑓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altLang="ko-KR" sz="15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𝑏𝑖𝑎𝑠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7C7A4B4-2BBB-4603-ABA3-F939AE1E2450}"/>
                </a:ext>
              </a:extLst>
            </xdr:cNvPr>
            <xdr:cNvSpPr txBox="1"/>
          </xdr:nvSpPr>
          <xdr:spPr>
            <a:xfrm>
              <a:off x="6856536" y="19455912"/>
              <a:ext cx="1417952" cy="249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𝑉_𝑏0=𝑉_𝑟𝑓−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𝑉_𝑏𝑖𝑎𝑠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8</xdr:col>
      <xdr:colOff>422031</xdr:colOff>
      <xdr:row>19</xdr:row>
      <xdr:rowOff>191966</xdr:rowOff>
    </xdr:from>
    <xdr:ext cx="1058431" cy="4989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119CBD9-24AF-41F2-8904-EC14ECB26898}"/>
                </a:ext>
              </a:extLst>
            </xdr:cNvPr>
            <xdr:cNvSpPr txBox="1"/>
          </xdr:nvSpPr>
          <xdr:spPr>
            <a:xfrm>
              <a:off x="9258300" y="4229101"/>
              <a:ext cx="1058431" cy="498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i="1" kern="1200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ko-KR" altLang="en-US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119CBD9-24AF-41F2-8904-EC14ECB26898}"/>
                </a:ext>
              </a:extLst>
            </xdr:cNvPr>
            <xdr:cNvSpPr txBox="1"/>
          </xdr:nvSpPr>
          <xdr:spPr>
            <a:xfrm>
              <a:off x="9258300" y="4229101"/>
              <a:ext cx="1058431" cy="498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altLang="ko-KR" sz="1500" i="0" kern="1200">
                  <a:latin typeface="Cambria Math" panose="02040503050406030204" pitchFamily="18" charset="0"/>
                </a:rPr>
                <a:t>λ</a:t>
              </a:r>
              <a:r>
                <a:rPr lang="en-US" altLang="ko-KR" sz="1500" i="0" kern="120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𝑖=1/(𝑛_𝑔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ko-KR" altLang="en-US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_𝑖 )</a:t>
              </a:r>
              <a:endParaRPr lang="ko-KR" altLang="en-US" sz="1500" kern="1200"/>
            </a:p>
          </xdr:txBody>
        </xdr:sp>
      </mc:Fallback>
    </mc:AlternateContent>
    <xdr:clientData/>
  </xdr:oneCellAnchor>
  <xdr:twoCellAnchor editAs="oneCell">
    <xdr:from>
      <xdr:col>21</xdr:col>
      <xdr:colOff>651011</xdr:colOff>
      <xdr:row>0</xdr:row>
      <xdr:rowOff>138545</xdr:rowOff>
    </xdr:from>
    <xdr:to>
      <xdr:col>29</xdr:col>
      <xdr:colOff>5080</xdr:colOff>
      <xdr:row>36</xdr:row>
      <xdr:rowOff>143164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2BDB58BD-987B-3C04-251A-F337D193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35102" y="138545"/>
          <a:ext cx="4838161" cy="7486074"/>
        </a:xfrm>
        <a:prstGeom prst="rect">
          <a:avLst/>
        </a:prstGeom>
      </xdr:spPr>
    </xdr:pic>
    <xdr:clientData/>
  </xdr:twoCellAnchor>
  <xdr:oneCellAnchor>
    <xdr:from>
      <xdr:col>9</xdr:col>
      <xdr:colOff>486203</xdr:colOff>
      <xdr:row>12</xdr:row>
      <xdr:rowOff>42792</xdr:rowOff>
    </xdr:from>
    <xdr:ext cx="3330079" cy="6580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A9119618-2F18-4641-81D6-24ADC82FDB61}"/>
                </a:ext>
              </a:extLst>
            </xdr:cNvPr>
            <xdr:cNvSpPr txBox="1"/>
          </xdr:nvSpPr>
          <xdr:spPr>
            <a:xfrm>
              <a:off x="9971789" y="2565275"/>
              <a:ext cx="3330079" cy="6580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𝑠𝑟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≈0.8</m:t>
                    </m:r>
                    <m:sSup>
                      <m:sSup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4+</m:t>
                            </m:r>
                            <m:f>
                              <m:f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λ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altLang="ko-KR" sz="15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ko-KR" sz="15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sub>
                                </m:sSub>
                              </m:den>
                            </m:f>
                            <m:sSup>
                              <m:sSupPr>
                                <m:ctrlP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altLang="ko-KR" sz="15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altLang="ko-KR" sz="15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en-US" altLang="ko-KR" sz="15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altLang="ko-KR" sz="15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𝑟</m:t>
                                            </m:r>
                                          </m:e>
                                          <m:sub>
                                            <m:r>
                                              <a:rPr lang="en-US" altLang="ko-KR" sz="15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0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en-US" altLang="ko-KR" sz="15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el-GR" altLang="ko-KR" sz="150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λ</m:t>
                                            </m:r>
                                          </m:e>
                                          <m:sub>
                                            <m:r>
                                              <a:rPr lang="en-US" altLang="ko-KR" sz="15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altLang="ko-KR" sz="15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p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−1/2</m:t>
                        </m:r>
                      </m:sup>
                    </m:sSup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A9119618-2F18-4641-81D6-24ADC82FDB61}"/>
                </a:ext>
              </a:extLst>
            </xdr:cNvPr>
            <xdr:cNvSpPr txBox="1"/>
          </xdr:nvSpPr>
          <xdr:spPr>
            <a:xfrm>
              <a:off x="9971789" y="2565275"/>
              <a:ext cx="3330079" cy="6580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ℎ_𝑟0=𝑛_𝑠𝑟/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𝑛_0 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≈0.8(4+𝑟_0/</a:t>
              </a:r>
              <a:r>
                <a:rPr lang="el-GR" altLang="ko-KR" sz="15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λ</a:t>
              </a:r>
              <a:r>
                <a:rPr lang="en-US" altLang="ko-KR" sz="15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 +𝑇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𝑟_0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l-GR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λ</a:t>
              </a:r>
              <a:r>
                <a:rPr lang="en-US" altLang="ko-KR" sz="15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n-US" altLang="ko-KR" sz="15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)^2 )</a:t>
              </a:r>
              <a:r>
                <a:rPr lang="en-US" altLang="ko-KR" sz="15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−1/2)</a:t>
              </a:r>
              <a:endParaRPr lang="ko-KR" altLang="en-US" sz="1500" kern="1200"/>
            </a:p>
          </xdr:txBody>
        </xdr:sp>
      </mc:Fallback>
    </mc:AlternateContent>
    <xdr:clientData/>
  </xdr:oneCellAnchor>
  <xdr:twoCellAnchor editAs="oneCell">
    <xdr:from>
      <xdr:col>14</xdr:col>
      <xdr:colOff>293344</xdr:colOff>
      <xdr:row>105</xdr:row>
      <xdr:rowOff>189169</xdr:rowOff>
    </xdr:from>
    <xdr:to>
      <xdr:col>21</xdr:col>
      <xdr:colOff>213459</xdr:colOff>
      <xdr:row>126</xdr:row>
      <xdr:rowOff>137671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DA04C045-76CA-4C1F-07B0-D65390F8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77056" y="18462515"/>
          <a:ext cx="4741230" cy="4410598"/>
        </a:xfrm>
        <a:prstGeom prst="rect">
          <a:avLst/>
        </a:prstGeom>
      </xdr:spPr>
    </xdr:pic>
    <xdr:clientData/>
  </xdr:twoCellAnchor>
  <xdr:twoCellAnchor editAs="oneCell">
    <xdr:from>
      <xdr:col>13</xdr:col>
      <xdr:colOff>182469</xdr:colOff>
      <xdr:row>65</xdr:row>
      <xdr:rowOff>50498</xdr:rowOff>
    </xdr:from>
    <xdr:to>
      <xdr:col>19</xdr:col>
      <xdr:colOff>217165</xdr:colOff>
      <xdr:row>83</xdr:row>
      <xdr:rowOff>97419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EAE46EC5-E338-55CA-C66F-5F7141D6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72599" y="11535715"/>
          <a:ext cx="3679044" cy="3227443"/>
        </a:xfrm>
        <a:prstGeom prst="rect">
          <a:avLst/>
        </a:prstGeom>
      </xdr:spPr>
    </xdr:pic>
    <xdr:clientData/>
  </xdr:twoCellAnchor>
  <xdr:oneCellAnchor>
    <xdr:from>
      <xdr:col>5</xdr:col>
      <xdr:colOff>101113</xdr:colOff>
      <xdr:row>113</xdr:row>
      <xdr:rowOff>193432</xdr:rowOff>
    </xdr:from>
    <xdr:ext cx="2091214" cy="4919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744B66A-6441-4DD6-8292-10A5ED0C3A93}"/>
                </a:ext>
              </a:extLst>
            </xdr:cNvPr>
            <xdr:cNvSpPr txBox="1"/>
          </xdr:nvSpPr>
          <xdr:spPr>
            <a:xfrm>
              <a:off x="6871190" y="20166624"/>
              <a:ext cx="2091214" cy="4919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altLang="ko-KR" sz="1500" b="0" i="1" kern="1200">
                            <a:latin typeface="Cambria Math" panose="02040503050406030204" pitchFamily="18" charset="0"/>
                          </a:rPr>
                          <m:t>ϕ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𝑤𝑎𝑙𝑙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func>
                      <m:func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ko-KR" sz="1500" b="0" i="0" kern="120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sSup>
                          <m:sSup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altLang="ko-KR" sz="15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num>
                                  <m:den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ko-KR" altLang="en-US" sz="1500" b="0" i="1" kern="1200">
                                        <a:latin typeface="Cambria Math" panose="02040503050406030204" pitchFamily="18" charset="0"/>
                                      </a:rPr>
                                      <m:t>𝜋</m:t>
                                    </m:r>
                                    <m:r>
                                      <a:rPr lang="en-US" altLang="ko-KR" sz="1500" b="0" i="1" kern="1200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1/2</m:t>
                            </m:r>
                          </m:sup>
                        </m:sSup>
                      </m:e>
                    </m:func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744B66A-6441-4DD6-8292-10A5ED0C3A93}"/>
                </a:ext>
              </a:extLst>
            </xdr:cNvPr>
            <xdr:cNvSpPr txBox="1"/>
          </xdr:nvSpPr>
          <xdr:spPr>
            <a:xfrm>
              <a:off x="6871190" y="20166624"/>
              <a:ext cx="2091214" cy="4919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altLang="ko-KR" sz="1500" b="0" i="0" kern="1200">
                  <a:latin typeface="Cambria Math" panose="02040503050406030204" pitchFamily="18" charset="0"/>
                </a:rPr>
                <a:t>ϕ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_𝑤𝑎𝑙𝑙=〖−𝑇〗_𝑒  ln⁡〖(𝑀/2</a:t>
              </a:r>
              <a:r>
                <a:rPr lang="ko-KR" altLang="en-US" sz="1500" b="0" i="0" kern="120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𝑚)^(1/2) 〗</a:t>
              </a:r>
              <a:endParaRPr lang="ko-KR" altLang="en-US" sz="1500" kern="1200"/>
            </a:p>
          </xdr:txBody>
        </xdr:sp>
      </mc:Fallback>
    </mc:AlternateContent>
    <xdr:clientData/>
  </xdr:oneCellAnchor>
  <xdr:twoCellAnchor>
    <xdr:from>
      <xdr:col>6</xdr:col>
      <xdr:colOff>577605</xdr:colOff>
      <xdr:row>106</xdr:row>
      <xdr:rowOff>50068</xdr:rowOff>
    </xdr:from>
    <xdr:to>
      <xdr:col>13</xdr:col>
      <xdr:colOff>294054</xdr:colOff>
      <xdr:row>109</xdr:row>
      <xdr:rowOff>18497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4">
              <a:extLst>
                <a:ext uri="{FF2B5EF4-FFF2-40B4-BE49-F238E27FC236}">
                  <a16:creationId xmlns:a16="http://schemas.microsoft.com/office/drawing/2014/main" id="{9479354C-1726-140C-CA48-DADA8A7827FE}"/>
                </a:ext>
              </a:extLst>
            </xdr:cNvPr>
            <xdr:cNvSpPr txBox="1"/>
          </xdr:nvSpPr>
          <xdr:spPr>
            <a:xfrm>
              <a:off x="7340355" y="15591693"/>
              <a:ext cx="4256699" cy="492304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altLang="ko-KR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0_</m:t>
                            </m:r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𝑎𝑣𝑒𝑟𝑎𝑔𝑒</m:t>
                            </m:r>
                          </m:sub>
                        </m:sSub>
                      </m:e>
                    </m:d>
                    <m:r>
                      <a:rPr lang="en-US" altLang="ko-KR" sz="15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altLang="ko-KR" sz="15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ko-KR" altLang="en-US" sz="15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num>
                          <m:den>
                            <m:r>
                              <a:rPr lang="ko-KR" altLang="en-US" sz="1500" b="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</m:den>
                        </m:f>
                        <m:sSub>
                          <m:sSubPr>
                            <m:ctrlP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𝑏𝑖𝑎𝑠</m:t>
                            </m:r>
                          </m:sub>
                        </m:sSub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altLang="ko-KR" sz="15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𝑟𝑓</m:t>
                                </m:r>
                              </m:sub>
                            </m:sSub>
                          </m:num>
                          <m:den>
                            <m:r>
                              <a:rPr lang="ko-KR" altLang="en-US" sz="1500" b="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</m:den>
                        </m:f>
                        <m:func>
                          <m:funcPr>
                            <m:ctrlP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altLang="ko-KR" sz="1500" b="0" i="0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sSub>
                              <m:sSubPr>
                                <m:ctrlPr>
                                  <a:rPr lang="en-US" altLang="ko-KR" sz="15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ko-KR" altLang="en-US" sz="15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func>
                      </m:e>
                    </m:d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31" name="TextBox 34">
              <a:extLst>
                <a:ext uri="{FF2B5EF4-FFF2-40B4-BE49-F238E27FC236}">
                  <a16:creationId xmlns:a16="http://schemas.microsoft.com/office/drawing/2014/main" id="{9479354C-1726-140C-CA48-DADA8A7827FE}"/>
                </a:ext>
              </a:extLst>
            </xdr:cNvPr>
            <xdr:cNvSpPr txBox="1"/>
          </xdr:nvSpPr>
          <xdr:spPr>
            <a:xfrm>
              <a:off x="7340355" y="15591693"/>
              <a:ext cx="4256699" cy="492304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|𝑉_(𝑎0_𝑎𝑣𝑒𝑟𝑎𝑔𝑒) |</a:t>
              </a:r>
              <a:r>
                <a:rPr lang="en-US" altLang="ko-KR" sz="1500" i="0">
                  <a:latin typeface="Cambria Math" panose="02040503050406030204" pitchFamily="18" charset="0"/>
                </a:rPr>
                <a:t>=|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−</a:t>
              </a:r>
              <a:r>
                <a:rPr lang="ko-KR" altLang="en-US" sz="1500" i="0">
                  <a:latin typeface="Cambria Math" panose="02040503050406030204" pitchFamily="18" charset="0"/>
                </a:rPr>
                <a:t>𝜃</a:t>
              </a:r>
              <a:r>
                <a:rPr lang="en-US" altLang="ko-KR" sz="1500" i="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0/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 𝑉_𝑏𝑖𝑎𝑠+𝑉_𝑟𝑓/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  sin⁡〖</a:t>
              </a:r>
              <a:r>
                <a:rPr lang="ko-KR" altLang="en-US" sz="1500" i="0">
                  <a:latin typeface="Cambria Math" panose="02040503050406030204" pitchFamily="18" charset="0"/>
                </a:rPr>
                <a:t>𝜃</a:t>
              </a:r>
              <a:r>
                <a:rPr lang="en-US" altLang="ko-KR" sz="1500" i="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0 〗 |</a:t>
              </a:r>
              <a:endParaRPr lang="ko-KR" altLang="en-US" sz="1500"/>
            </a:p>
          </xdr:txBody>
        </xdr:sp>
      </mc:Fallback>
    </mc:AlternateContent>
    <xdr:clientData/>
  </xdr:twoCellAnchor>
  <xdr:twoCellAnchor>
    <xdr:from>
      <xdr:col>7</xdr:col>
      <xdr:colOff>297961</xdr:colOff>
      <xdr:row>109</xdr:row>
      <xdr:rowOff>84260</xdr:rowOff>
    </xdr:from>
    <xdr:to>
      <xdr:col>15</xdr:col>
      <xdr:colOff>484897</xdr:colOff>
      <xdr:row>112</xdr:row>
      <xdr:rowOff>52688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46">
              <a:extLst>
                <a:ext uri="{FF2B5EF4-FFF2-40B4-BE49-F238E27FC236}">
                  <a16:creationId xmlns:a16="http://schemas.microsoft.com/office/drawing/2014/main" id="{0340AFCD-1F24-AD08-4E68-3DD165C358A2}"/>
                </a:ext>
              </a:extLst>
            </xdr:cNvPr>
            <xdr:cNvSpPr txBox="1"/>
          </xdr:nvSpPr>
          <xdr:spPr>
            <a:xfrm>
              <a:off x="7663961" y="16149760"/>
              <a:ext cx="5330436" cy="49230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altLang="ko-KR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0_</m:t>
                            </m:r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𝑎𝑣𝑒𝑟𝑎𝑔𝑒</m:t>
                            </m:r>
                          </m:sub>
                        </m:sSub>
                      </m:e>
                    </m:d>
                    <m:r>
                      <a:rPr lang="en-US" altLang="ko-KR" sz="15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altLang="ko-KR" sz="15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ko-KR" altLang="en-US" sz="1500" b="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ko-KR" altLang="en-US" sz="1500" b="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num>
                          <m:den>
                            <m:r>
                              <a:rPr lang="ko-KR" altLang="en-US" sz="1500" b="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</m:den>
                        </m:f>
                        <m:sSub>
                          <m:sSubPr>
                            <m:ctrlP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𝑏𝑖𝑎𝑠</m:t>
                            </m:r>
                          </m:sub>
                        </m:sSub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altLang="ko-KR" sz="15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5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  <m:t>𝑟𝑓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ko-KR" altLang="en-US" sz="1500" b="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</m:den>
                        </m:f>
                        <m:d>
                          <m:dPr>
                            <m:begChr m:val="["/>
                            <m:endChr m:val="]"/>
                            <m:ctrlP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altLang="ko-KR" sz="15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en-US" altLang="ko-KR" sz="15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altLang="ko-KR" sz="15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ko-KR" altLang="en-US" sz="1500" b="0" i="1">
                                        <a:latin typeface="Cambria Math" panose="02040503050406030204" pitchFamily="18" charset="0"/>
                                      </a:rPr>
                                      <m:t>𝜋</m:t>
                                    </m:r>
                                    <m:r>
                                      <a:rPr lang="en-US" altLang="ko-KR" sz="15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altLang="ko-KR" sz="15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ko-KR" altLang="en-US" sz="1500" b="0" i="1">
                                            <a:latin typeface="Cambria Math" panose="02040503050406030204" pitchFamily="18" charset="0"/>
                                          </a:rPr>
                                          <m:t>𝜃</m:t>
                                        </m:r>
                                      </m:e>
                                      <m:sub>
                                        <m:r>
                                          <a:rPr lang="en-US" altLang="ko-KR" sz="1500" b="0" i="1">
                                            <a:latin typeface="Cambria Math" panose="02040503050406030204" pitchFamily="18" charset="0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func>
                            <m:r>
                              <a:rPr lang="en-US" altLang="ko-KR" sz="15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unc>
                              <m:funcPr>
                                <m:ctrlPr>
                                  <a:rPr lang="en-US" altLang="ko-KR" sz="15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altLang="ko-KR" sz="15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altLang="ko-KR" sz="15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ko-KR" altLang="en-US" sz="1500" i="1">
                                        <a:latin typeface="Cambria Math" panose="02040503050406030204" pitchFamily="18" charset="0"/>
                                      </a:rPr>
                                      <m:t>𝜃</m:t>
                                    </m:r>
                                  </m:e>
                                  <m:sub>
                                    <m:r>
                                      <a:rPr lang="en-US" altLang="ko-KR" sz="1500" b="0" i="1">
                                        <a:latin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e>
                            </m:func>
                          </m:e>
                        </m:d>
                      </m:e>
                    </m:d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32" name="TextBox 46">
              <a:extLst>
                <a:ext uri="{FF2B5EF4-FFF2-40B4-BE49-F238E27FC236}">
                  <a16:creationId xmlns:a16="http://schemas.microsoft.com/office/drawing/2014/main" id="{0340AFCD-1F24-AD08-4E68-3DD165C358A2}"/>
                </a:ext>
              </a:extLst>
            </xdr:cNvPr>
            <xdr:cNvSpPr txBox="1"/>
          </xdr:nvSpPr>
          <xdr:spPr>
            <a:xfrm>
              <a:off x="7663961" y="16149760"/>
              <a:ext cx="5330436" cy="49230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|𝑉_(𝑏0_𝑎𝑣𝑒𝑟𝑎𝑔𝑒) |</a:t>
              </a:r>
              <a:r>
                <a:rPr lang="en-US" altLang="ko-KR" sz="1500" i="0">
                  <a:latin typeface="Cambria Math" panose="02040503050406030204" pitchFamily="18" charset="0"/>
                </a:rPr>
                <a:t>=|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−(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−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𝜃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_0)/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 𝑉_𝑏𝑖𝑎𝑠+𝑉_𝑟𝑓/2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 [sin⁡(2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−</a:t>
              </a:r>
              <a:r>
                <a:rPr lang="ko-KR" altLang="en-US" sz="1500" b="0" i="0">
                  <a:latin typeface="Cambria Math" panose="02040503050406030204" pitchFamily="18" charset="0"/>
                </a:rPr>
                <a:t>𝜃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_0 )−sin⁡〖</a:t>
              </a:r>
              <a:r>
                <a:rPr lang="ko-KR" altLang="en-US" sz="1500" i="0">
                  <a:latin typeface="Cambria Math" panose="02040503050406030204" pitchFamily="18" charset="0"/>
                </a:rPr>
                <a:t>𝜃</a:t>
              </a:r>
              <a:r>
                <a:rPr lang="en-US" altLang="ko-KR" sz="1500" i="0">
                  <a:latin typeface="Cambria Math" panose="02040503050406030204" pitchFamily="18" charset="0"/>
                </a:rPr>
                <a:t>_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0 〗 ]|</a:t>
              </a:r>
              <a:endParaRPr lang="ko-KR" altLang="en-US" sz="1500"/>
            </a:p>
          </xdr:txBody>
        </xdr:sp>
      </mc:Fallback>
    </mc:AlternateContent>
    <xdr:clientData/>
  </xdr:twoCellAnchor>
  <xdr:twoCellAnchor>
    <xdr:from>
      <xdr:col>17</xdr:col>
      <xdr:colOff>250702</xdr:colOff>
      <xdr:row>88</xdr:row>
      <xdr:rowOff>101681</xdr:rowOff>
    </xdr:from>
    <xdr:to>
      <xdr:col>20</xdr:col>
      <xdr:colOff>107356</xdr:colOff>
      <xdr:row>91</xdr:row>
      <xdr:rowOff>65395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">
              <a:extLst>
                <a:ext uri="{FF2B5EF4-FFF2-40B4-BE49-F238E27FC236}">
                  <a16:creationId xmlns:a16="http://schemas.microsoft.com/office/drawing/2014/main" id="{E20F9160-8253-A234-8E03-2FF506D54E3C}"/>
                </a:ext>
              </a:extLst>
            </xdr:cNvPr>
            <xdr:cNvSpPr txBox="1"/>
          </xdr:nvSpPr>
          <xdr:spPr>
            <a:xfrm>
              <a:off x="14313066" y="15341681"/>
              <a:ext cx="1692381" cy="31007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e>
                      <m:sup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altLang="ko-KR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=1.52</m:t>
                    </m:r>
                    <m:sSub>
                      <m:sSubPr>
                        <m:ctrlP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ko-KR" altLang="en-US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𝜀</m:t>
                        </m:r>
                      </m:e>
                      <m:sub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ko-KR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ko-KR" altLang="en-US"/>
            </a:p>
          </xdr:txBody>
        </xdr:sp>
      </mc:Choice>
      <mc:Fallback xmlns="">
        <xdr:sp macro="" textlink="">
          <xdr:nvSpPr>
            <xdr:cNvPr id="30" name="TextBox 2">
              <a:extLst>
                <a:ext uri="{FF2B5EF4-FFF2-40B4-BE49-F238E27FC236}">
                  <a16:creationId xmlns:a16="http://schemas.microsoft.com/office/drawing/2014/main" id="{E20F9160-8253-A234-8E03-2FF506D54E3C}"/>
                </a:ext>
              </a:extLst>
            </xdr:cNvPr>
            <xdr:cNvSpPr txBox="1"/>
          </xdr:nvSpPr>
          <xdr:spPr>
            <a:xfrm>
              <a:off x="14313066" y="15341681"/>
              <a:ext cx="1692381" cy="31007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𝐶_𝑠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〗^′=1.52</a:t>
              </a:r>
              <a:r>
                <a:rPr lang="ko-KR" alt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_0/𝑠_𝑚</a:t>
              </a:r>
              <a:endParaRPr lang="ko-KR" altLang="en-US"/>
            </a:p>
          </xdr:txBody>
        </xdr:sp>
      </mc:Fallback>
    </mc:AlternateContent>
    <xdr:clientData/>
  </xdr:twoCellAnchor>
  <xdr:twoCellAnchor>
    <xdr:from>
      <xdr:col>15</xdr:col>
      <xdr:colOff>508000</xdr:colOff>
      <xdr:row>82</xdr:row>
      <xdr:rowOff>134668</xdr:rowOff>
    </xdr:from>
    <xdr:to>
      <xdr:col>22</xdr:col>
      <xdr:colOff>229530</xdr:colOff>
      <xdr:row>86</xdr:row>
      <xdr:rowOff>109085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9">
              <a:extLst>
                <a:ext uri="{FF2B5EF4-FFF2-40B4-BE49-F238E27FC236}">
                  <a16:creationId xmlns:a16="http://schemas.microsoft.com/office/drawing/2014/main" id="{56CB50D5-8950-09E4-BD8F-594E79C82889}"/>
                </a:ext>
              </a:extLst>
            </xdr:cNvPr>
            <xdr:cNvSpPr txBox="1"/>
          </xdr:nvSpPr>
          <xdr:spPr>
            <a:xfrm>
              <a:off x="13346545" y="14335577"/>
              <a:ext cx="4004894" cy="6671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altLang="ko-KR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=1.95∙</m:t>
                    </m:r>
                    <m:sSup>
                      <m:sSup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λ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num>
                              <m:den>
                                <m:sSup>
                                  <m:sSup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ko-KR" altLang="en-US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𝜋</m:t>
                                    </m:r>
                                  </m:e>
                                  <m:sup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  <m:sSup>
                                  <m:sSup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n-US" altLang="ko-KR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altLang="ko-KR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λ</m:t>
                                        </m:r>
                                      </m:e>
                                      <m:sub>
                                        <m:r>
                                          <a:rPr lang="en-US" altLang="ko-KR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f>
                              <m:f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𝐽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</m:t>
                                </m:r>
                                <m:r>
                                  <a:rPr lang="ko-KR" altLang="en-US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𝜔</m:t>
                                </m:r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1/2</m:t>
                        </m:r>
                      </m:sup>
                    </m:sSup>
                    <m:r>
                      <a:rPr lang="en-US" altLang="ko-KR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𝐽</m:t>
                            </m:r>
                          </m:e>
                          <m:sub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8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  <m:r>
                          <a:rPr lang="ko-KR" altLang="en-US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𝜔</m:t>
                        </m:r>
                        <m:sSub>
                          <m:sSub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ko-KR" altLang="en-US"/>
            </a:p>
          </xdr:txBody>
        </xdr:sp>
      </mc:Choice>
      <mc:Fallback xmlns="">
        <xdr:sp macro="" textlink="">
          <xdr:nvSpPr>
            <xdr:cNvPr id="33" name="TextBox 9">
              <a:extLst>
                <a:ext uri="{FF2B5EF4-FFF2-40B4-BE49-F238E27FC236}">
                  <a16:creationId xmlns:a16="http://schemas.microsoft.com/office/drawing/2014/main" id="{56CB50D5-8950-09E4-BD8F-594E79C82889}"/>
                </a:ext>
              </a:extLst>
            </xdr:cNvPr>
            <xdr:cNvSpPr txBox="1"/>
          </xdr:nvSpPr>
          <xdr:spPr>
            <a:xfrm>
              <a:off x="13346545" y="14335577"/>
              <a:ext cx="4004894" cy="6671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𝑠_𝑚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=1.95∙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((2</a:t>
              </a:r>
              <a:r>
                <a:rPr lang="el-GR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λ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_𝑖)/(</a:t>
              </a:r>
              <a:r>
                <a:rPr lang="ko-KR" alt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^2 〖</a:t>
              </a:r>
              <a:r>
                <a:rPr lang="el-GR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λ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_𝐷〗^2 )∙𝐽_0/(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𝑒</a:t>
              </a:r>
              <a:r>
                <a:rPr lang="ko-KR" alt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𝑛_0 ))^(1/2)∙𝐽_0/(</a:t>
              </a:r>
              <a:r>
                <a:rPr lang="en-U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ko-KR" alt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𝑛_0 )</a:t>
              </a:r>
              <a:endParaRPr lang="ko-KR" altLang="en-US"/>
            </a:p>
          </xdr:txBody>
        </xdr:sp>
      </mc:Fallback>
    </mc:AlternateContent>
    <xdr:clientData/>
  </xdr:twoCellAnchor>
  <xdr:twoCellAnchor>
    <xdr:from>
      <xdr:col>15</xdr:col>
      <xdr:colOff>505527</xdr:colOff>
      <xdr:row>91</xdr:row>
      <xdr:rowOff>15669</xdr:rowOff>
    </xdr:from>
    <xdr:to>
      <xdr:col>21</xdr:col>
      <xdr:colOff>582529</xdr:colOff>
      <xdr:row>94</xdr:row>
      <xdr:rowOff>151338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10">
              <a:extLst>
                <a:ext uri="{FF2B5EF4-FFF2-40B4-BE49-F238E27FC236}">
                  <a16:creationId xmlns:a16="http://schemas.microsoft.com/office/drawing/2014/main" id="{62137EB0-6E68-667D-9475-ED7A91D7F643}"/>
                </a:ext>
              </a:extLst>
            </xdr:cNvPr>
            <xdr:cNvSpPr txBox="1"/>
          </xdr:nvSpPr>
          <xdr:spPr>
            <a:xfrm>
              <a:off x="13344072" y="15602033"/>
              <a:ext cx="3748457" cy="65521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</m:t>
                            </m:r>
                          </m:e>
                          <m:sub>
                            <m: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e>
                      <m:sup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altLang="ko-KR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=2.17∙</m:t>
                    </m:r>
                    <m:sSup>
                      <m:sSup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λ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</m:t>
                        </m:r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d>
                      <m:d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sSub>
                              <m:sSub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num>
                          <m:den>
                            <m:r>
                              <a:rPr lang="en-US" altLang="ko-KR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  <m:sSub>
                              <m:sSubPr>
                                <m:ctrlP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</m:den>
                        </m:f>
                      </m:e>
                    </m:d>
                    <m:sSup>
                      <m:sSup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λ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𝐷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altLang="ko-KR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2/3</m:t>
                        </m:r>
                      </m:sup>
                    </m:sSup>
                  </m:oMath>
                </m:oMathPara>
              </a14:m>
              <a:endParaRPr lang="ko-KR" altLang="en-US"/>
            </a:p>
          </xdr:txBody>
        </xdr:sp>
      </mc:Choice>
      <mc:Fallback xmlns="">
        <xdr:sp macro="" textlink="">
          <xdr:nvSpPr>
            <xdr:cNvPr id="35" name="TextBox 10">
              <a:extLst>
                <a:ext uri="{FF2B5EF4-FFF2-40B4-BE49-F238E27FC236}">
                  <a16:creationId xmlns:a16="http://schemas.microsoft.com/office/drawing/2014/main" id="{62137EB0-6E68-667D-9475-ED7A91D7F643}"/>
                </a:ext>
              </a:extLst>
            </xdr:cNvPr>
            <xdr:cNvSpPr txBox="1"/>
          </xdr:nvSpPr>
          <xdr:spPr>
            <a:xfrm>
              <a:off x="13344072" y="15602033"/>
              <a:ext cx="3748457" cy="65521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𝐺_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𝑠〗^′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=2.17∙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(𝑠_𝑚/</a:t>
              </a:r>
              <a:r>
                <a:rPr lang="el-GR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λ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_𝑖 )^(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3) 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𝑒^2 𝑛_0)/(𝑚𝑢_𝑒 )) 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λ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_𝐷/𝑠_𝑚 )^(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2/3)</a:t>
              </a:r>
              <a:endParaRPr lang="ko-KR" altLang="en-US"/>
            </a:p>
          </xdr:txBody>
        </xdr:sp>
      </mc:Fallback>
    </mc:AlternateContent>
    <xdr:clientData/>
  </xdr:twoCellAnchor>
  <xdr:twoCellAnchor>
    <xdr:from>
      <xdr:col>5</xdr:col>
      <xdr:colOff>0</xdr:colOff>
      <xdr:row>99</xdr:row>
      <xdr:rowOff>0</xdr:rowOff>
    </xdr:from>
    <xdr:to>
      <xdr:col>7</xdr:col>
      <xdr:colOff>414362</xdr:colOff>
      <xdr:row>100</xdr:row>
      <xdr:rowOff>143916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11">
              <a:extLst>
                <a:ext uri="{FF2B5EF4-FFF2-40B4-BE49-F238E27FC236}">
                  <a16:creationId xmlns:a16="http://schemas.microsoft.com/office/drawing/2014/main" id="{F88AAA9F-0A8D-C7AD-4B39-453007F96DA8}"/>
                </a:ext>
              </a:extLst>
            </xdr:cNvPr>
            <xdr:cNvSpPr txBox="1"/>
          </xdr:nvSpPr>
          <xdr:spPr>
            <a:xfrm>
              <a:off x="6150429" y="17417143"/>
              <a:ext cx="1629933" cy="6882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altLang="ko-KR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altLang="ko-KR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altLang="ko-KR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8</m:t>
                                </m:r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</m:t>
                                </m:r>
                                <m:sSub>
                                  <m:sSubPr>
                                    <m:ctrlPr>
                                      <a:rPr lang="en-US" altLang="ko-KR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altLang="ko-KR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𝑒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ko-KR" altLang="en-US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𝜋</m:t>
                                </m:r>
                                <m:r>
                                  <a:rPr lang="en-US" altLang="ko-KR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altLang="ko-KR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1/2</m:t>
                        </m:r>
                      </m:sup>
                    </m:sSup>
                  </m:oMath>
                </m:oMathPara>
              </a14:m>
              <a:endParaRPr lang="ko-KR" altLang="en-US"/>
            </a:p>
          </xdr:txBody>
        </xdr:sp>
      </mc:Choice>
      <mc:Fallback xmlns="">
        <xdr:sp macro="" textlink="">
          <xdr:nvSpPr>
            <xdr:cNvPr id="36" name="TextBox 11">
              <a:extLst>
                <a:ext uri="{FF2B5EF4-FFF2-40B4-BE49-F238E27FC236}">
                  <a16:creationId xmlns:a16="http://schemas.microsoft.com/office/drawing/2014/main" id="{F88AAA9F-0A8D-C7AD-4B39-453007F96DA8}"/>
                </a:ext>
              </a:extLst>
            </xdr:cNvPr>
            <xdr:cNvSpPr txBox="1"/>
          </xdr:nvSpPr>
          <xdr:spPr>
            <a:xfrm>
              <a:off x="6150429" y="17417143"/>
              <a:ext cx="1629933" cy="6882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𝑢_𝑒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altLang="ko-KR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8𝑒𝑇_𝑒)/</a:t>
              </a:r>
              <a:r>
                <a:rPr lang="ko-KR" alt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altLang="ko-KR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𝑚)^(1/2)</a:t>
              </a:r>
              <a:endParaRPr lang="ko-KR" altLang="en-US"/>
            </a:p>
          </xdr:txBody>
        </xdr:sp>
      </mc:Fallback>
    </mc:AlternateContent>
    <xdr:clientData/>
  </xdr:twoCellAnchor>
  <xdr:oneCellAnchor>
    <xdr:from>
      <xdr:col>13</xdr:col>
      <xdr:colOff>446210</xdr:colOff>
      <xdr:row>21</xdr:row>
      <xdr:rowOff>16852</xdr:rowOff>
    </xdr:from>
    <xdr:ext cx="2126351" cy="2539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C18A4D5-DDC3-4B0F-81E1-D63004B29464}"/>
                </a:ext>
              </a:extLst>
            </xdr:cNvPr>
            <xdr:cNvSpPr txBox="1"/>
          </xdr:nvSpPr>
          <xdr:spPr>
            <a:xfrm>
              <a:off x="13276385" y="3617302"/>
              <a:ext cx="2126351" cy="2539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=2</m:t>
                    </m:r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𝑙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</m:t>
                    </m:r>
                    <m:r>
                      <a:rPr lang="ko-KR" altLang="en-US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>
                      <a:rPr lang="en-US" altLang="ko-KR" sz="15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𝑅𝑙</m:t>
                    </m:r>
                    <m:sSub>
                      <m:sSub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sub>
                    </m:sSub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C18A4D5-DDC3-4B0F-81E1-D63004B29464}"/>
                </a:ext>
              </a:extLst>
            </xdr:cNvPr>
            <xdr:cNvSpPr txBox="1"/>
          </xdr:nvSpPr>
          <xdr:spPr>
            <a:xfrm>
              <a:off x="13276385" y="3617302"/>
              <a:ext cx="2126351" cy="2539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𝐴_𝑒𝑓𝑓=2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𝜋𝑅^2 ℎ_𝑙+2</a:t>
              </a:r>
              <a:r>
                <a:rPr lang="ko-KR" altLang="en-US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altLang="ko-KR" sz="15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𝑅𝑙ℎ_𝑅</a:t>
              </a:r>
              <a:endParaRPr lang="ko-KR" altLang="en-US" sz="1500" kern="1200"/>
            </a:p>
          </xdr:txBody>
        </xdr:sp>
      </mc:Fallback>
    </mc:AlternateContent>
    <xdr:clientData/>
  </xdr:oneCellAnchor>
  <xdr:oneCellAnchor>
    <xdr:from>
      <xdr:col>13</xdr:col>
      <xdr:colOff>436685</xdr:colOff>
      <xdr:row>23</xdr:row>
      <xdr:rowOff>159727</xdr:rowOff>
    </xdr:from>
    <xdr:ext cx="2250616" cy="5282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2FCBDF1-8FDC-49A5-B8D4-5105C5DF44AE}"/>
                </a:ext>
              </a:extLst>
            </xdr:cNvPr>
            <xdr:cNvSpPr txBox="1"/>
          </xdr:nvSpPr>
          <xdr:spPr>
            <a:xfrm>
              <a:off x="13266860" y="4103077"/>
              <a:ext cx="2250616" cy="5282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5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ko-KR" altLang="en-US" sz="1500" b="0" i="1" kern="1200">
                            <a:latin typeface="Cambria Math" panose="02040503050406030204" pitchFamily="18" charset="0"/>
                          </a:rPr>
                          <m:t>𝜋</m:t>
                        </m:r>
                        <m:sSup>
                          <m:sSup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𝑙</m:t>
                        </m:r>
                      </m:num>
                      <m:den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𝑒𝑓𝑓</m:t>
                            </m:r>
                          </m:sub>
                        </m:sSub>
                      </m:den>
                    </m:f>
                    <m:r>
                      <a:rPr lang="en-US" altLang="ko-KR" sz="15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f>
                      <m:fPr>
                        <m:ctrlP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𝑅𝑙</m:t>
                        </m:r>
                      </m:num>
                      <m:den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𝑅</m:t>
                        </m:r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altLang="ko-KR" sz="1500" b="0" i="1" kern="1200">
                            <a:latin typeface="Cambria Math" panose="02040503050406030204" pitchFamily="18" charset="0"/>
                          </a:rPr>
                          <m:t>𝑙</m:t>
                        </m:r>
                        <m:sSub>
                          <m:sSubPr>
                            <m:ctrlP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n-US" altLang="ko-KR" sz="1500" b="0" i="1" kern="1200">
                                <a:latin typeface="Cambria Math" panose="02040503050406030204" pitchFamily="18" charset="0"/>
                              </a:rPr>
                              <m:t>𝑅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ko-KR" altLang="en-US" sz="1500" kern="12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2FCBDF1-8FDC-49A5-B8D4-5105C5DF44AE}"/>
                </a:ext>
              </a:extLst>
            </xdr:cNvPr>
            <xdr:cNvSpPr txBox="1"/>
          </xdr:nvSpPr>
          <xdr:spPr>
            <a:xfrm>
              <a:off x="13266860" y="4103077"/>
              <a:ext cx="2250616" cy="5282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 kern="1200">
                  <a:latin typeface="Cambria Math" panose="02040503050406030204" pitchFamily="18" charset="0"/>
                </a:rPr>
                <a:t>𝑑_𝑒𝑓𝑓=(</a:t>
              </a:r>
              <a:r>
                <a:rPr lang="ko-KR" altLang="en-US" sz="1500" b="0" i="0" kern="1200">
                  <a:latin typeface="Cambria Math" panose="02040503050406030204" pitchFamily="18" charset="0"/>
                </a:rPr>
                <a:t>𝜋</a:t>
              </a:r>
              <a:r>
                <a:rPr lang="en-US" altLang="ko-KR" sz="1500" b="0" i="0" kern="1200">
                  <a:latin typeface="Cambria Math" panose="02040503050406030204" pitchFamily="18" charset="0"/>
                </a:rPr>
                <a:t>𝑅^2 𝑙)/𝐴_𝑒𝑓𝑓 =1/2  𝑅𝑙/(𝑅ℎ_𝑙+𝑙ℎ_𝑅 )</a:t>
              </a:r>
              <a:endParaRPr lang="ko-KR" altLang="en-US" sz="150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03DF-8F76-4877-ABFD-D4B01B341FED}">
  <dimension ref="A1:Q117"/>
  <sheetViews>
    <sheetView tabSelected="1" topLeftCell="C1" zoomScaleNormal="100" workbookViewId="0">
      <selection activeCell="C39" sqref="C39"/>
    </sheetView>
  </sheetViews>
  <sheetFormatPr defaultRowHeight="14.4" x14ac:dyDescent="0.25"/>
  <cols>
    <col min="1" max="1" width="19.19921875" bestFit="1" customWidth="1"/>
    <col min="2" max="2" width="38.3984375" bestFit="1" customWidth="1"/>
    <col min="3" max="3" width="13.09765625" bestFit="1" customWidth="1"/>
    <col min="5" max="5" width="12.5" bestFit="1" customWidth="1"/>
    <col min="11" max="11" width="13.09765625" bestFit="1" customWidth="1"/>
  </cols>
  <sheetData>
    <row r="1" spans="1:9" x14ac:dyDescent="0.25">
      <c r="E1" s="2"/>
      <c r="F1" t="s">
        <v>92</v>
      </c>
    </row>
    <row r="2" spans="1:9" x14ac:dyDescent="0.25">
      <c r="E2" s="1"/>
      <c r="F2" t="s">
        <v>93</v>
      </c>
    </row>
    <row r="3" spans="1:9" x14ac:dyDescent="0.25">
      <c r="B3" t="s">
        <v>2</v>
      </c>
      <c r="C3" t="s">
        <v>94</v>
      </c>
      <c r="D3" t="s">
        <v>3</v>
      </c>
      <c r="E3" t="s">
        <v>95</v>
      </c>
    </row>
    <row r="4" spans="1:9" x14ac:dyDescent="0.25">
      <c r="A4" s="5" t="s">
        <v>0</v>
      </c>
      <c r="B4" t="s">
        <v>1</v>
      </c>
      <c r="C4">
        <f>1.3806504E-23</f>
        <v>1.3806504000000001E-23</v>
      </c>
      <c r="D4" t="s">
        <v>4</v>
      </c>
      <c r="E4" s="1"/>
    </row>
    <row r="5" spans="1:9" x14ac:dyDescent="0.25">
      <c r="A5" s="5"/>
      <c r="B5" t="s">
        <v>5</v>
      </c>
      <c r="C5">
        <f>0.00000000000885</f>
        <v>8.8500000000000005E-12</v>
      </c>
      <c r="D5" t="s">
        <v>14</v>
      </c>
      <c r="E5" s="1"/>
    </row>
    <row r="6" spans="1:9" x14ac:dyDescent="0.25">
      <c r="A6" s="5"/>
      <c r="B6" t="s">
        <v>6</v>
      </c>
      <c r="C6">
        <f>1.6E-19</f>
        <v>1.5999999999999999E-19</v>
      </c>
      <c r="D6" t="s">
        <v>13</v>
      </c>
      <c r="E6" s="1"/>
    </row>
    <row r="7" spans="1:9" x14ac:dyDescent="0.25">
      <c r="A7" s="5"/>
      <c r="B7" t="s">
        <v>7</v>
      </c>
      <c r="C7">
        <f>9.1095E-31</f>
        <v>9.1095000000000007E-31</v>
      </c>
      <c r="D7" t="s">
        <v>12</v>
      </c>
      <c r="E7" s="1"/>
    </row>
    <row r="8" spans="1:9" x14ac:dyDescent="0.25">
      <c r="A8" s="5"/>
      <c r="B8" t="s">
        <v>8</v>
      </c>
      <c r="C8">
        <f>6.6335E-26</f>
        <v>6.6335E-26</v>
      </c>
      <c r="D8" t="s">
        <v>12</v>
      </c>
      <c r="E8" s="1"/>
    </row>
    <row r="9" spans="1:9" x14ac:dyDescent="0.25">
      <c r="A9" s="5"/>
      <c r="B9" t="s">
        <v>9</v>
      </c>
      <c r="C9">
        <v>12.14</v>
      </c>
      <c r="D9" t="s">
        <v>11</v>
      </c>
      <c r="E9" s="1"/>
    </row>
    <row r="10" spans="1:9" x14ac:dyDescent="0.25">
      <c r="A10" s="5"/>
      <c r="B10" t="s">
        <v>10</v>
      </c>
      <c r="C10">
        <v>15.76</v>
      </c>
      <c r="D10" t="s">
        <v>11</v>
      </c>
      <c r="E10" s="1"/>
    </row>
    <row r="11" spans="1:9" x14ac:dyDescent="0.25">
      <c r="A11" s="3"/>
    </row>
    <row r="12" spans="1:9" x14ac:dyDescent="0.25">
      <c r="A12" s="5" t="s">
        <v>15</v>
      </c>
      <c r="B12" t="s">
        <v>16</v>
      </c>
      <c r="C12">
        <v>5.6</v>
      </c>
      <c r="D12" t="s">
        <v>26</v>
      </c>
      <c r="E12" s="2"/>
    </row>
    <row r="13" spans="1:9" x14ac:dyDescent="0.25">
      <c r="A13" s="5"/>
      <c r="B13" t="s">
        <v>16</v>
      </c>
      <c r="C13">
        <f>C12/1000</f>
        <v>5.5999999999999999E-3</v>
      </c>
      <c r="D13" t="s">
        <v>25</v>
      </c>
      <c r="E13" s="1"/>
    </row>
    <row r="14" spans="1:9" x14ac:dyDescent="0.25">
      <c r="A14" s="5"/>
      <c r="B14" t="s">
        <v>17</v>
      </c>
      <c r="C14">
        <v>238</v>
      </c>
      <c r="D14" t="s">
        <v>26</v>
      </c>
      <c r="E14" s="2"/>
    </row>
    <row r="15" spans="1:9" x14ac:dyDescent="0.25">
      <c r="A15" s="5"/>
      <c r="B15" t="s">
        <v>17</v>
      </c>
      <c r="C15">
        <f>C14/1000</f>
        <v>0.23799999999999999</v>
      </c>
      <c r="D15" t="s">
        <v>25</v>
      </c>
      <c r="E15" s="1"/>
      <c r="H15">
        <f>C15/C22</f>
        <v>27489</v>
      </c>
    </row>
    <row r="16" spans="1:9" x14ac:dyDescent="0.25">
      <c r="A16" s="5"/>
      <c r="B16" t="s">
        <v>18</v>
      </c>
      <c r="C16">
        <f>PI()*C15*C15*C13</f>
        <v>9.9653329591166536E-4</v>
      </c>
      <c r="D16" t="s">
        <v>24</v>
      </c>
      <c r="E16" s="1"/>
      <c r="H16">
        <f>C13/C22</f>
        <v>646.80000000000007</v>
      </c>
      <c r="I16">
        <f>C13/K22</f>
        <v>223.71948208973697</v>
      </c>
    </row>
    <row r="17" spans="1:13" x14ac:dyDescent="0.25">
      <c r="A17" s="5"/>
      <c r="B17" t="s">
        <v>19</v>
      </c>
      <c r="C17">
        <v>3.5</v>
      </c>
      <c r="D17" t="s">
        <v>23</v>
      </c>
      <c r="E17" s="2"/>
      <c r="K17">
        <f>0.8*(4+(C15/C22)+(1/100)*((C15/C22)^(2)))^(-1/2)</f>
        <v>2.904975153790326E-4</v>
      </c>
    </row>
    <row r="18" spans="1:13" x14ac:dyDescent="0.25">
      <c r="A18" s="5"/>
      <c r="B18" t="s">
        <v>19</v>
      </c>
      <c r="C18">
        <f>C17*133.322</f>
        <v>466.62700000000001</v>
      </c>
      <c r="D18" t="s">
        <v>22</v>
      </c>
      <c r="E18" s="1"/>
    </row>
    <row r="19" spans="1:13" x14ac:dyDescent="0.25">
      <c r="A19" s="5"/>
      <c r="B19" t="s">
        <v>20</v>
      </c>
      <c r="C19">
        <v>423</v>
      </c>
      <c r="D19" t="s">
        <v>21</v>
      </c>
      <c r="E19" s="2"/>
    </row>
    <row r="20" spans="1:13" x14ac:dyDescent="0.25">
      <c r="A20" s="3"/>
    </row>
    <row r="21" spans="1:13" x14ac:dyDescent="0.25">
      <c r="A21" s="5" t="s">
        <v>27</v>
      </c>
      <c r="B21" t="s">
        <v>71</v>
      </c>
      <c r="C21">
        <f>1/(330*C17)</f>
        <v>8.658008658008658E-4</v>
      </c>
      <c r="D21" t="s">
        <v>70</v>
      </c>
      <c r="E21" s="1"/>
    </row>
    <row r="22" spans="1:13" x14ac:dyDescent="0.25">
      <c r="A22" s="5"/>
      <c r="B22" t="s">
        <v>71</v>
      </c>
      <c r="C22">
        <f>C21/100</f>
        <v>8.6580086580086573E-6</v>
      </c>
      <c r="D22" t="s">
        <v>25</v>
      </c>
      <c r="E22" s="1"/>
      <c r="K22">
        <f>1/(C29*500*1E-21)</f>
        <v>2.503134705878571E-5</v>
      </c>
    </row>
    <row r="23" spans="1:13" x14ac:dyDescent="0.25">
      <c r="A23" s="3"/>
    </row>
    <row r="24" spans="1:13" x14ac:dyDescent="0.25">
      <c r="A24" s="5" t="s">
        <v>30</v>
      </c>
      <c r="B24" t="s">
        <v>28</v>
      </c>
      <c r="C24">
        <v>0.61</v>
      </c>
      <c r="E24" s="1"/>
      <c r="M24">
        <f>0.8*((4+C15/K22)^(-1/2))</f>
        <v>8.2026142054345951E-3</v>
      </c>
    </row>
    <row r="25" spans="1:13" x14ac:dyDescent="0.25">
      <c r="A25" s="5"/>
      <c r="B25" t="s">
        <v>29</v>
      </c>
      <c r="C25">
        <v>0.61</v>
      </c>
      <c r="E25" s="1"/>
      <c r="M25">
        <f>0.86*((3+C13/(2*K22))^(-1/2))</f>
        <v>8.0244363179958422E-2</v>
      </c>
    </row>
    <row r="26" spans="1:13" x14ac:dyDescent="0.25">
      <c r="A26" s="5"/>
      <c r="B26" t="s">
        <v>31</v>
      </c>
      <c r="C26">
        <f>2*PI()*C15*C15*C25+2*PI()*C15*C13*C24</f>
        <v>0.22221017652954653</v>
      </c>
      <c r="E26" s="1"/>
    </row>
    <row r="27" spans="1:13" x14ac:dyDescent="0.25">
      <c r="A27" s="5"/>
      <c r="B27" t="s">
        <v>32</v>
      </c>
      <c r="C27">
        <f>PI()*C15*C15*C13/C26</f>
        <v>4.4846429244394205E-3</v>
      </c>
      <c r="E27" s="1"/>
    </row>
    <row r="28" spans="1:13" x14ac:dyDescent="0.25">
      <c r="A28" s="3"/>
    </row>
    <row r="29" spans="1:13" x14ac:dyDescent="0.25">
      <c r="A29" s="3" t="s">
        <v>33</v>
      </c>
      <c r="B29" t="s">
        <v>34</v>
      </c>
      <c r="C29">
        <f>C18/(C4*C19)</f>
        <v>7.989981503204892E+22</v>
      </c>
      <c r="D29" t="s">
        <v>74</v>
      </c>
      <c r="E29" s="1"/>
    </row>
    <row r="30" spans="1:13" x14ac:dyDescent="0.25">
      <c r="A30" s="3"/>
      <c r="K30">
        <f>SQRT(C31)</f>
        <v>1.4212670403551895</v>
      </c>
    </row>
    <row r="31" spans="1:13" x14ac:dyDescent="0.25">
      <c r="A31" s="5" t="s">
        <v>35</v>
      </c>
      <c r="B31" t="s">
        <v>36</v>
      </c>
      <c r="C31">
        <v>2.02</v>
      </c>
      <c r="D31" t="s">
        <v>73</v>
      </c>
      <c r="E31" s="2"/>
      <c r="H31">
        <v>2.012</v>
      </c>
    </row>
    <row r="32" spans="1:13" x14ac:dyDescent="0.25">
      <c r="A32" s="5"/>
      <c r="B32" t="s">
        <v>37</v>
      </c>
      <c r="C32">
        <f>((C6*C31)/(C8))^(1/2)</f>
        <v>2207.3149732129477</v>
      </c>
      <c r="D32" t="s">
        <v>72</v>
      </c>
      <c r="E32" s="1"/>
    </row>
    <row r="33" spans="1:5" x14ac:dyDescent="0.25">
      <c r="A33" s="5"/>
      <c r="B33" t="s">
        <v>38</v>
      </c>
      <c r="C33">
        <f>(C37/C32)*C29*C27</f>
        <v>1.023835398177996</v>
      </c>
      <c r="E33" s="1"/>
    </row>
    <row r="34" spans="1:5" x14ac:dyDescent="0.25">
      <c r="A34" s="3"/>
    </row>
    <row r="35" spans="1:5" x14ac:dyDescent="0.25">
      <c r="A35" s="5" t="s">
        <v>39</v>
      </c>
      <c r="B35" t="s">
        <v>40</v>
      </c>
      <c r="C35">
        <f>(0.00000000000002336)*(C31^1.609)*(EXP(0.0618*((LN(C31))^(2))-0.117*((LN(C31))^(3))))</f>
        <v>7.1678693496010322E-14</v>
      </c>
      <c r="E35" s="1"/>
    </row>
    <row r="36" spans="1:5" x14ac:dyDescent="0.25">
      <c r="A36" s="5"/>
      <c r="B36" t="s">
        <v>41</v>
      </c>
      <c r="C36">
        <f>(0.0000000000000248)*((C31)^(0.33))*(EXP(-12.78/C31))</f>
        <v>5.5918117749185726E-17</v>
      </c>
      <c r="E36" s="1"/>
    </row>
    <row r="37" spans="1:5" x14ac:dyDescent="0.25">
      <c r="A37" s="5"/>
      <c r="B37" t="s">
        <v>42</v>
      </c>
      <c r="C37">
        <f>(0.0000000000000234)*((C31)^(0.59))*(EXP(-17.44/C31))</f>
        <v>6.3069706035286401E-18</v>
      </c>
      <c r="E37" s="1"/>
    </row>
    <row r="38" spans="1:5" x14ac:dyDescent="0.25">
      <c r="A38" s="3"/>
    </row>
    <row r="39" spans="1:5" x14ac:dyDescent="0.25">
      <c r="A39" s="5" t="s">
        <v>43</v>
      </c>
      <c r="B39" t="s">
        <v>75</v>
      </c>
      <c r="C39">
        <f>(C37*C10+C36*C9+C35*(3*C7/C8)*C31)/(C37)</f>
        <v>124.34002174697321</v>
      </c>
      <c r="D39" t="s">
        <v>11</v>
      </c>
      <c r="E39" s="1"/>
    </row>
    <row r="40" spans="1:5" x14ac:dyDescent="0.25">
      <c r="A40" s="5"/>
      <c r="B40" t="s">
        <v>76</v>
      </c>
      <c r="C40">
        <f>C41+(1/2)*C31+2*C31</f>
        <v>446.05</v>
      </c>
      <c r="D40" t="s">
        <v>11</v>
      </c>
      <c r="E40" s="1"/>
    </row>
    <row r="41" spans="1:5" x14ac:dyDescent="0.25">
      <c r="A41" s="5"/>
      <c r="B41" s="4" t="s">
        <v>44</v>
      </c>
      <c r="C41" s="4">
        <v>441</v>
      </c>
      <c r="D41" t="s">
        <v>11</v>
      </c>
      <c r="E41" s="2"/>
    </row>
    <row r="42" spans="1:5" x14ac:dyDescent="0.25">
      <c r="A42" s="5"/>
      <c r="B42" t="s">
        <v>77</v>
      </c>
      <c r="C42">
        <f>C40+C39</f>
        <v>570.39002174697316</v>
      </c>
      <c r="D42" t="s">
        <v>11</v>
      </c>
      <c r="E42" s="1"/>
    </row>
    <row r="43" spans="1:5" x14ac:dyDescent="0.25">
      <c r="A43" s="3"/>
    </row>
    <row r="44" spans="1:5" x14ac:dyDescent="0.25">
      <c r="A44" s="3" t="s">
        <v>45</v>
      </c>
      <c r="B44" t="s">
        <v>46</v>
      </c>
      <c r="C44">
        <v>900</v>
      </c>
      <c r="D44" t="s">
        <v>78</v>
      </c>
      <c r="E44" s="2"/>
    </row>
    <row r="45" spans="1:5" x14ac:dyDescent="0.25">
      <c r="A45" s="3"/>
    </row>
    <row r="46" spans="1:5" x14ac:dyDescent="0.25">
      <c r="A46" s="5" t="s">
        <v>47</v>
      </c>
      <c r="B46" t="s">
        <v>80</v>
      </c>
      <c r="C46">
        <f>C44/(C6*C32*C26*C42)</f>
        <v>2.0105846085072644E+16</v>
      </c>
      <c r="D46" t="s">
        <v>74</v>
      </c>
      <c r="E46" s="1"/>
    </row>
    <row r="47" spans="1:5" x14ac:dyDescent="0.25">
      <c r="A47" s="5"/>
      <c r="B47" t="s">
        <v>80</v>
      </c>
      <c r="C47">
        <f>C46*0.000001</f>
        <v>20105846085.072643</v>
      </c>
      <c r="D47" t="s">
        <v>79</v>
      </c>
      <c r="E47" s="1"/>
    </row>
    <row r="48" spans="1:5" x14ac:dyDescent="0.25">
      <c r="A48" s="3"/>
    </row>
    <row r="49" spans="1:12" x14ac:dyDescent="0.25">
      <c r="A49" s="3" t="s">
        <v>48</v>
      </c>
      <c r="B49" t="s">
        <v>81</v>
      </c>
      <c r="C49">
        <f>C29*C35</f>
        <v>5727114352.0701523</v>
      </c>
      <c r="D49" t="s">
        <v>51</v>
      </c>
      <c r="E49" s="1"/>
    </row>
    <row r="50" spans="1:12" x14ac:dyDescent="0.25">
      <c r="A50" s="3"/>
      <c r="K50">
        <v>8.2452397714329748E-5</v>
      </c>
    </row>
    <row r="51" spans="1:12" x14ac:dyDescent="0.25">
      <c r="A51" s="3" t="s">
        <v>50</v>
      </c>
      <c r="B51" t="s">
        <v>52</v>
      </c>
      <c r="C51">
        <f>SQRT((C46*C6*C6)/(C7*C5))</f>
        <v>7990284703.392868</v>
      </c>
      <c r="D51" t="s">
        <v>49</v>
      </c>
      <c r="E51" s="1"/>
    </row>
    <row r="52" spans="1:12" x14ac:dyDescent="0.25">
      <c r="A52" s="3"/>
    </row>
    <row r="53" spans="1:12" x14ac:dyDescent="0.25">
      <c r="A53" s="3" t="s">
        <v>53</v>
      </c>
      <c r="C53">
        <v>12900000</v>
      </c>
      <c r="D53" t="s">
        <v>82</v>
      </c>
      <c r="E53" s="2"/>
    </row>
    <row r="54" spans="1:12" x14ac:dyDescent="0.25">
      <c r="A54" s="3" t="s">
        <v>54</v>
      </c>
      <c r="C54">
        <f>2*PI()*C53</f>
        <v>81053090.462616667</v>
      </c>
      <c r="D54" t="s">
        <v>49</v>
      </c>
      <c r="E54" s="1"/>
    </row>
    <row r="55" spans="1:12" x14ac:dyDescent="0.25">
      <c r="A55" s="3"/>
    </row>
    <row r="56" spans="1:12" x14ac:dyDescent="0.25">
      <c r="A56" s="3" t="s">
        <v>55</v>
      </c>
      <c r="C56">
        <f>((C5*C49)/(((C54)^2)+((C49)^2)))*((C51)^2)</f>
        <v>9.8638156363140592E-2</v>
      </c>
      <c r="E56" s="1"/>
    </row>
    <row r="57" spans="1:12" x14ac:dyDescent="0.25">
      <c r="A57" s="3" t="s">
        <v>56</v>
      </c>
      <c r="C57">
        <f>-(((C51)^2)/(((C54)^2)+((C49)^2)))</f>
        <v>-1.9461029946584865</v>
      </c>
      <c r="E57" s="1"/>
    </row>
    <row r="58" spans="1:12" x14ac:dyDescent="0.25">
      <c r="A58" s="3"/>
    </row>
    <row r="59" spans="1:12" x14ac:dyDescent="0.25">
      <c r="A59" s="3" t="s">
        <v>57</v>
      </c>
      <c r="C59">
        <f>SQRT((C5*C4*11600*C31)/(C46*C6*C6))</f>
        <v>7.4582513733016114E-5</v>
      </c>
      <c r="D59" t="s">
        <v>25</v>
      </c>
      <c r="E59" s="1"/>
      <c r="K59">
        <f>743*SQRT(C31/C47)</f>
        <v>7.4473766997486153E-3</v>
      </c>
      <c r="L59" t="s">
        <v>104</v>
      </c>
    </row>
    <row r="60" spans="1:12" x14ac:dyDescent="0.25">
      <c r="A60" s="3"/>
      <c r="C60">
        <f>C59*1000000</f>
        <v>74.582513733016114</v>
      </c>
      <c r="D60" t="s">
        <v>58</v>
      </c>
      <c r="E60" s="1"/>
    </row>
    <row r="61" spans="1:12" x14ac:dyDescent="0.25">
      <c r="A61" s="3"/>
    </row>
    <row r="62" spans="1:12" x14ac:dyDescent="0.25">
      <c r="A62" s="3" t="s">
        <v>59</v>
      </c>
      <c r="B62" t="s">
        <v>91</v>
      </c>
      <c r="C62">
        <f>C13/(C56*PI()*C15*C15)</f>
        <v>0.31903570785629126</v>
      </c>
      <c r="D62" t="s">
        <v>63</v>
      </c>
      <c r="E62" s="1"/>
    </row>
    <row r="63" spans="1:12" x14ac:dyDescent="0.25">
      <c r="A63" s="3" t="s">
        <v>60</v>
      </c>
      <c r="B63" t="s">
        <v>89</v>
      </c>
      <c r="C63">
        <f>-1*C13/(C54*C5*C57*PI()*C15*C15)</f>
        <v>22.5426812334731</v>
      </c>
      <c r="D63" t="s">
        <v>63</v>
      </c>
      <c r="E63" s="1"/>
    </row>
    <row r="64" spans="1:12" x14ac:dyDescent="0.25">
      <c r="A64" s="3" t="s">
        <v>61</v>
      </c>
      <c r="B64" t="s">
        <v>90</v>
      </c>
      <c r="C64">
        <f>-1*C13/(C54*C5*PI()*C15*C15)</f>
        <v>-43.870379456093659</v>
      </c>
      <c r="D64" t="s">
        <v>63</v>
      </c>
      <c r="E64" s="1"/>
    </row>
    <row r="65" spans="1:13" x14ac:dyDescent="0.25">
      <c r="A65" s="3"/>
      <c r="F65" t="s">
        <v>137</v>
      </c>
      <c r="G65" t="s">
        <v>138</v>
      </c>
      <c r="H65" t="s">
        <v>139</v>
      </c>
    </row>
    <row r="66" spans="1:13" x14ac:dyDescent="0.25">
      <c r="A66" s="5" t="s">
        <v>62</v>
      </c>
      <c r="B66" t="s">
        <v>85</v>
      </c>
      <c r="C66">
        <f>C63/C54</f>
        <v>2.7812241463970138E-7</v>
      </c>
      <c r="D66" t="s">
        <v>64</v>
      </c>
      <c r="E66" s="1"/>
      <c r="F66">
        <f>2*PI()*430000*$C$66</f>
        <v>0.75142270778243658</v>
      </c>
      <c r="G66">
        <f>2*PI()*2000000*$C$66</f>
        <v>3.4949893385229607</v>
      </c>
      <c r="H66">
        <f>2*PI()*12900000*$C$66</f>
        <v>22.542681233473097</v>
      </c>
      <c r="I66" t="s">
        <v>135</v>
      </c>
    </row>
    <row r="67" spans="1:13" x14ac:dyDescent="0.25">
      <c r="A67" s="5"/>
      <c r="B67" t="s">
        <v>84</v>
      </c>
      <c r="C67">
        <f>C66*1000000</f>
        <v>0.27812241463970139</v>
      </c>
      <c r="D67" t="s">
        <v>68</v>
      </c>
      <c r="E67" s="1"/>
      <c r="J67" t="s">
        <v>140</v>
      </c>
      <c r="K67" t="s">
        <v>137</v>
      </c>
      <c r="L67" t="s">
        <v>138</v>
      </c>
      <c r="M67" t="s">
        <v>139</v>
      </c>
    </row>
    <row r="68" spans="1:13" x14ac:dyDescent="0.25">
      <c r="A68" s="5"/>
      <c r="B68" t="s">
        <v>83</v>
      </c>
      <c r="C68">
        <f>C66*1000000000</f>
        <v>278.12241463970139</v>
      </c>
      <c r="D68" t="s">
        <v>69</v>
      </c>
      <c r="E68" s="1"/>
      <c r="F68" t="s">
        <v>137</v>
      </c>
      <c r="G68" t="s">
        <v>138</v>
      </c>
      <c r="H68" t="s">
        <v>139</v>
      </c>
      <c r="K68">
        <f>F66/F69</f>
        <v>5.7094157614514911E-4</v>
      </c>
      <c r="L68">
        <f>G66/G69</f>
        <v>1.2351359137807445E-2</v>
      </c>
      <c r="M68">
        <f>H66/H69</f>
        <v>0.5138474185306342</v>
      </c>
    </row>
    <row r="69" spans="1:13" x14ac:dyDescent="0.25">
      <c r="A69" s="5" t="s">
        <v>13</v>
      </c>
      <c r="B69" t="s">
        <v>86</v>
      </c>
      <c r="C69">
        <f>1/(C54*-1*C64)</f>
        <v>2.8122830576588768E-10</v>
      </c>
      <c r="D69" t="s">
        <v>65</v>
      </c>
      <c r="E69" s="1"/>
      <c r="F69">
        <f>1/(2*PI()*430000*$C$69)</f>
        <v>1316.1113836828099</v>
      </c>
      <c r="G69">
        <f>1/(2*PI()*2000000*$C$69)</f>
        <v>282.96394749180411</v>
      </c>
      <c r="H69">
        <f>1/(2*PI()*12900000*$C$69)</f>
        <v>43.870379456093659</v>
      </c>
      <c r="I69" t="s">
        <v>135</v>
      </c>
      <c r="J69" t="s">
        <v>141</v>
      </c>
      <c r="K69">
        <f>1/(2*PI()*SQRT(C66*C69))</f>
        <v>17995860.616850719</v>
      </c>
      <c r="L69" t="s">
        <v>143</v>
      </c>
    </row>
    <row r="70" spans="1:13" x14ac:dyDescent="0.25">
      <c r="A70" s="5"/>
      <c r="B70" t="s">
        <v>87</v>
      </c>
      <c r="C70">
        <f>C69*1000000000</f>
        <v>0.2812283057658877</v>
      </c>
      <c r="D70" t="s">
        <v>66</v>
      </c>
      <c r="E70" s="1"/>
      <c r="K70">
        <f>K69*0.000001</f>
        <v>17.995860616850717</v>
      </c>
      <c r="L70" t="s">
        <v>142</v>
      </c>
    </row>
    <row r="71" spans="1:13" x14ac:dyDescent="0.25">
      <c r="A71" s="5"/>
      <c r="B71" t="s">
        <v>88</v>
      </c>
      <c r="C71">
        <f>C69*1000000000000</f>
        <v>281.22830576588768</v>
      </c>
      <c r="D71" t="s">
        <v>67</v>
      </c>
      <c r="E71" s="1"/>
    </row>
    <row r="73" spans="1:13" x14ac:dyDescent="0.25">
      <c r="B73" t="s">
        <v>106</v>
      </c>
      <c r="C73">
        <v>93069</v>
      </c>
      <c r="D73" t="s">
        <v>115</v>
      </c>
    </row>
    <row r="74" spans="1:13" x14ac:dyDescent="0.25">
      <c r="B74" t="s">
        <v>107</v>
      </c>
      <c r="C74">
        <v>272658</v>
      </c>
      <c r="D74" t="s">
        <v>115</v>
      </c>
    </row>
    <row r="76" spans="1:13" x14ac:dyDescent="0.25">
      <c r="A76" s="5" t="s">
        <v>96</v>
      </c>
      <c r="C76">
        <f>20*C59</f>
        <v>1.4916502746603222E-3</v>
      </c>
      <c r="D76" t="s">
        <v>25</v>
      </c>
    </row>
    <row r="77" spans="1:13" x14ac:dyDescent="0.25">
      <c r="A77" s="5"/>
      <c r="C77">
        <f>C76*1000000</f>
        <v>1491.6502746603223</v>
      </c>
      <c r="D77" t="s">
        <v>58</v>
      </c>
    </row>
    <row r="78" spans="1:13" x14ac:dyDescent="0.25">
      <c r="A78" t="s">
        <v>97</v>
      </c>
      <c r="C78">
        <f>C73*0.000001</f>
        <v>9.3068999999999999E-2</v>
      </c>
      <c r="D78" t="s">
        <v>105</v>
      </c>
    </row>
    <row r="79" spans="1:13" x14ac:dyDescent="0.25">
      <c r="A79" t="s">
        <v>98</v>
      </c>
      <c r="C79">
        <f>C74*0.000001</f>
        <v>0.27265800000000001</v>
      </c>
      <c r="D79" t="s">
        <v>105</v>
      </c>
    </row>
    <row r="81" spans="1:17" x14ac:dyDescent="0.25">
      <c r="A81" t="s">
        <v>99</v>
      </c>
      <c r="C81">
        <f>C5*C78/C76</f>
        <v>5.5218080537514969E-10</v>
      </c>
      <c r="D81" t="s">
        <v>65</v>
      </c>
    </row>
    <row r="82" spans="1:17" x14ac:dyDescent="0.25">
      <c r="A82" t="s">
        <v>113</v>
      </c>
      <c r="C82">
        <f>C81*1000000000</f>
        <v>0.55218080537514969</v>
      </c>
      <c r="D82" t="s">
        <v>66</v>
      </c>
    </row>
    <row r="83" spans="1:17" x14ac:dyDescent="0.25">
      <c r="A83" t="s">
        <v>100</v>
      </c>
      <c r="C83">
        <f>C5*C79/C76</f>
        <v>1.6176870282476181E-9</v>
      </c>
      <c r="D83" t="s">
        <v>65</v>
      </c>
    </row>
    <row r="84" spans="1:17" x14ac:dyDescent="0.25">
      <c r="A84" t="s">
        <v>114</v>
      </c>
      <c r="C84">
        <f>C83*1000000000</f>
        <v>1.6176870282476181</v>
      </c>
      <c r="D84" t="s">
        <v>66</v>
      </c>
    </row>
    <row r="86" spans="1:17" x14ac:dyDescent="0.25">
      <c r="A86" t="s">
        <v>118</v>
      </c>
      <c r="C86">
        <f>1.95*((((2*C22)/(((PI())^2)*(((C59)^2)))*(C103/(C6*C54*C46))))^(1/2))*(C103/(C6*C54*C46))</f>
        <v>7.2598112546906114E-4</v>
      </c>
      <c r="D86" t="s">
        <v>122</v>
      </c>
      <c r="E86">
        <f>C86*1000</f>
        <v>0.72598112546906113</v>
      </c>
    </row>
    <row r="87" spans="1:17" x14ac:dyDescent="0.25">
      <c r="A87" t="s">
        <v>123</v>
      </c>
      <c r="C87">
        <f>1.52*C5/C86</f>
        <v>1.8529407346931471E-8</v>
      </c>
      <c r="D87" t="s">
        <v>127</v>
      </c>
      <c r="J87" t="s">
        <v>140</v>
      </c>
    </row>
    <row r="88" spans="1:17" x14ac:dyDescent="0.25">
      <c r="E88" t="s">
        <v>137</v>
      </c>
      <c r="F88" t="s">
        <v>138</v>
      </c>
      <c r="G88" t="s">
        <v>139</v>
      </c>
      <c r="J88" t="s">
        <v>137</v>
      </c>
      <c r="K88" t="s">
        <v>138</v>
      </c>
      <c r="L88" t="s">
        <v>139</v>
      </c>
      <c r="N88" t="s">
        <v>141</v>
      </c>
    </row>
    <row r="89" spans="1:17" x14ac:dyDescent="0.25">
      <c r="A89" t="s">
        <v>124</v>
      </c>
      <c r="C89">
        <f>C87*C78*1000000000</f>
        <v>1.7245134123715651</v>
      </c>
      <c r="D89" t="s">
        <v>136</v>
      </c>
      <c r="E89">
        <f>1/(2*PI()*430000*$C$89*0.000000001)</f>
        <v>214.62736791551649</v>
      </c>
      <c r="F89">
        <f>1/(2*PI()*2000000*$C$89*0.000000001)</f>
        <v>46.144884101836041</v>
      </c>
      <c r="G89">
        <f>1/(2*PI()*12900000*$C$89*0.000000001)</f>
        <v>7.1542455971838832</v>
      </c>
      <c r="H89" t="s">
        <v>135</v>
      </c>
      <c r="J89">
        <f>F66/E89</f>
        <v>3.5010572746632116E-3</v>
      </c>
      <c r="K89">
        <f t="shared" ref="K89:L89" si="0">G66/F89</f>
        <v>7.5739475925650876E-2</v>
      </c>
      <c r="L89">
        <f t="shared" si="0"/>
        <v>3.1509515471968901</v>
      </c>
      <c r="N89">
        <f>1/(2*PI()*SQRT(C66*C89*0.000000001))</f>
        <v>7267229.0368126361</v>
      </c>
      <c r="O89" t="s">
        <v>143</v>
      </c>
      <c r="P89">
        <f>N89*0.000001</f>
        <v>7.267229036812636</v>
      </c>
      <c r="Q89" t="s">
        <v>142</v>
      </c>
    </row>
    <row r="90" spans="1:17" x14ac:dyDescent="0.25">
      <c r="A90" t="s">
        <v>125</v>
      </c>
      <c r="C90">
        <f>C87*C79*1000000000</f>
        <v>5.0521911483996416</v>
      </c>
      <c r="D90" t="s">
        <v>136</v>
      </c>
      <c r="E90">
        <f>1/(2*PI()*430000*$C$90*0.000000001)</f>
        <v>73.260841436998746</v>
      </c>
      <c r="F90">
        <f>1/(2*PI()*2000000*$C$90*0.000000001)</f>
        <v>15.75108090895473</v>
      </c>
      <c r="G90">
        <f>1/(2*PI()*12900000*$C$90*0.000000001)</f>
        <v>2.4420280478999579</v>
      </c>
      <c r="H90" t="s">
        <v>135</v>
      </c>
      <c r="J90">
        <f>F66/E90</f>
        <v>1.025681241224384E-2</v>
      </c>
      <c r="K90">
        <f t="shared" ref="K90:L90" si="1">G66/F90</f>
        <v>0.22188885694416094</v>
      </c>
      <c r="L90">
        <f t="shared" si="1"/>
        <v>9.2311311710194577</v>
      </c>
      <c r="N90">
        <f>1/(2*PI()*SQRT(C66*C90*0.000000001))</f>
        <v>4245826.5574731929</v>
      </c>
      <c r="O90" t="s">
        <v>143</v>
      </c>
      <c r="P90">
        <f>N90*0.000001</f>
        <v>4.245826557473193</v>
      </c>
      <c r="Q90" t="s">
        <v>142</v>
      </c>
    </row>
    <row r="91" spans="1:17" x14ac:dyDescent="0.25">
      <c r="A91" t="s">
        <v>144</v>
      </c>
      <c r="C91">
        <f>C89+C90</f>
        <v>6.7767045607712069</v>
      </c>
      <c r="N91">
        <f>1/(2*PI()*SQRT(C66*C91*0.000000001))</f>
        <v>3666003.3696129099</v>
      </c>
      <c r="O91" t="s">
        <v>143</v>
      </c>
      <c r="P91">
        <f>N91*0.000001</f>
        <v>3.6660033696129095</v>
      </c>
      <c r="Q91" t="s">
        <v>142</v>
      </c>
    </row>
    <row r="93" spans="1:17" x14ac:dyDescent="0.25">
      <c r="A93" t="s">
        <v>126</v>
      </c>
      <c r="C93">
        <f>2.17*((C86/C22)^(2/3))*((C6*C6*C46)/(C7*C94))*(((C59)/(C86))^(2/3))</f>
        <v>5420.6127648565052</v>
      </c>
      <c r="D93" t="s">
        <v>131</v>
      </c>
    </row>
    <row r="94" spans="1:17" x14ac:dyDescent="0.25">
      <c r="A94" t="s">
        <v>128</v>
      </c>
      <c r="C94">
        <f>((8*C6*C31)/(PI()*C7))^(1/2)</f>
        <v>950513.88004990621</v>
      </c>
    </row>
    <row r="95" spans="1:17" x14ac:dyDescent="0.25">
      <c r="A95" t="s">
        <v>129</v>
      </c>
      <c r="C95">
        <f>C93*C78</f>
        <v>504.49100941243006</v>
      </c>
      <c r="D95" t="s">
        <v>132</v>
      </c>
    </row>
    <row r="96" spans="1:17" x14ac:dyDescent="0.25">
      <c r="A96" t="s">
        <v>130</v>
      </c>
      <c r="C96">
        <f>C93*C79</f>
        <v>1477.9734352402452</v>
      </c>
      <c r="D96" t="s">
        <v>132</v>
      </c>
    </row>
    <row r="97" spans="1:11" x14ac:dyDescent="0.25">
      <c r="A97" t="s">
        <v>133</v>
      </c>
      <c r="C97">
        <f>1/C95</f>
        <v>1.9821958792975887E-3</v>
      </c>
      <c r="D97" t="s">
        <v>135</v>
      </c>
    </row>
    <row r="98" spans="1:11" x14ac:dyDescent="0.25">
      <c r="A98" t="s">
        <v>134</v>
      </c>
      <c r="C98">
        <f>1/C96</f>
        <v>6.7660214734336515E-4</v>
      </c>
      <c r="D98" t="s">
        <v>135</v>
      </c>
    </row>
    <row r="101" spans="1:11" x14ac:dyDescent="0.25">
      <c r="A101" t="s">
        <v>101</v>
      </c>
      <c r="C101">
        <v>1047</v>
      </c>
      <c r="D101" t="s">
        <v>11</v>
      </c>
      <c r="K101">
        <v>101.55115701055705</v>
      </c>
    </row>
    <row r="102" spans="1:11" x14ac:dyDescent="0.25">
      <c r="A102" t="s">
        <v>117</v>
      </c>
      <c r="C102">
        <v>36.25</v>
      </c>
      <c r="D102" t="s">
        <v>120</v>
      </c>
    </row>
    <row r="103" spans="1:11" x14ac:dyDescent="0.25">
      <c r="A103" t="s">
        <v>119</v>
      </c>
      <c r="C103">
        <f>2*C102/(C78+C79)</f>
        <v>198.23529572604701</v>
      </c>
      <c r="D103" t="s">
        <v>121</v>
      </c>
    </row>
    <row r="105" spans="1:11" x14ac:dyDescent="0.25">
      <c r="A105" t="s">
        <v>102</v>
      </c>
      <c r="C105">
        <f>C101*SIN((PI()/2)*((C46*C79-C46*C78)/(C46*C79+C46*C78)))</f>
        <v>729.8557976234946</v>
      </c>
    </row>
    <row r="107" spans="1:11" x14ac:dyDescent="0.25">
      <c r="A107" t="s">
        <v>108</v>
      </c>
      <c r="C107">
        <f>PI()-2*ASIN(C105/C101)</f>
        <v>1.5989242614132864</v>
      </c>
    </row>
    <row r="108" spans="1:11" x14ac:dyDescent="0.25">
      <c r="A108" t="s">
        <v>109</v>
      </c>
      <c r="C108">
        <f>C107*180/PI()</f>
        <v>91.611611940053663</v>
      </c>
    </row>
    <row r="109" spans="1:11" x14ac:dyDescent="0.25">
      <c r="A109" t="s">
        <v>110</v>
      </c>
      <c r="C109">
        <f>ABS(-(C107/PI())*C105+C101*SIN(C107))</f>
        <v>675.12325474042757</v>
      </c>
    </row>
    <row r="110" spans="1:11" x14ac:dyDescent="0.25">
      <c r="A110" t="s">
        <v>111</v>
      </c>
      <c r="C110">
        <f>ABS(-((PI()-C107)/PI())*C105+(C101/C105)*(SIN(2*PI()-C107)-SIN(C107)))</f>
        <v>361.26113315639435</v>
      </c>
    </row>
    <row r="112" spans="1:11" x14ac:dyDescent="0.25">
      <c r="C112">
        <f>C109*(C78/(C78+C79))</f>
        <v>171.80313784718339</v>
      </c>
    </row>
    <row r="113" spans="1:3" x14ac:dyDescent="0.25">
      <c r="C113">
        <f>C110*(C79/(C78+C79))</f>
        <v>269.32859221265085</v>
      </c>
    </row>
    <row r="114" spans="1:3" x14ac:dyDescent="0.25">
      <c r="A114" t="s">
        <v>103</v>
      </c>
      <c r="C114">
        <f>C112+C113</f>
        <v>441.13173005983424</v>
      </c>
    </row>
    <row r="116" spans="1:3" x14ac:dyDescent="0.25">
      <c r="A116" t="s">
        <v>112</v>
      </c>
      <c r="C116">
        <f>-1*C31*LN(((C8)/(2*PI()*C7))^(1/2))</f>
        <v>-9.4514417733312346</v>
      </c>
    </row>
    <row r="117" spans="1:3" x14ac:dyDescent="0.25">
      <c r="A117" t="s">
        <v>116</v>
      </c>
    </row>
  </sheetData>
  <mergeCells count="11">
    <mergeCell ref="A39:A42"/>
    <mergeCell ref="A46:A47"/>
    <mergeCell ref="A66:A68"/>
    <mergeCell ref="A69:A71"/>
    <mergeCell ref="A76:A77"/>
    <mergeCell ref="A35:A37"/>
    <mergeCell ref="A4:A10"/>
    <mergeCell ref="A12:A19"/>
    <mergeCell ref="A21:A22"/>
    <mergeCell ref="A24:A27"/>
    <mergeCell ref="A31:A3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7687-BDAA-4F33-9641-B209E360CDA7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Min Won</dc:creator>
  <cp:lastModifiedBy>Jung Min Won</cp:lastModifiedBy>
  <dcterms:created xsi:type="dcterms:W3CDTF">2025-01-03T14:33:35Z</dcterms:created>
  <dcterms:modified xsi:type="dcterms:W3CDTF">2026-03-20T16:52:14Z</dcterms:modified>
</cp:coreProperties>
</file>